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10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1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1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1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Excel\快狗跨年度\"/>
    </mc:Choice>
  </mc:AlternateContent>
  <xr:revisionPtr revIDLastSave="0" documentId="13_ncr:1_{630E7A47-426E-4E9C-9CAD-BF384D83ABB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主界面" sheetId="1" r:id="rId1"/>
    <sheet name="reg" sheetId="3" state="veryHidden" r:id="rId2"/>
    <sheet name="凭证录入" sheetId="5" state="hidden" r:id="rId3"/>
    <sheet name="凭证管理" sheetId="20" state="hidden" r:id="rId4"/>
    <sheet name="Sheet3" sheetId="30" state="hidden" r:id="rId5"/>
    <sheet name="凭证打印" sheetId="26" state="hidden" r:id="rId6"/>
    <sheet name="Sheet1" sheetId="31" state="hidden" r:id="rId7"/>
    <sheet name="总账" sheetId="15" state="hidden" r:id="rId8"/>
    <sheet name="明细账" sheetId="14" state="hidden" r:id="rId9"/>
    <sheet name="余额表" sheetId="8" state="hidden" r:id="rId10"/>
    <sheet name="多栏账" sheetId="25" state="hidden" r:id="rId11"/>
    <sheet name="资产负债表" sheetId="10" state="hidden" r:id="rId12"/>
    <sheet name="利润表" sheetId="11" state="hidden" r:id="rId13"/>
    <sheet name="科目模板" sheetId="12" state="hidden" r:id="rId14"/>
    <sheet name="会计科目" sheetId="17" state="hidden" r:id="rId15"/>
    <sheet name="设置" sheetId="18" state="hidden" r:id="rId16"/>
    <sheet name="颜色设置" sheetId="22" state="hidden" r:id="rId17"/>
    <sheet name="格式设置" sheetId="23" state="hidden" r:id="rId18"/>
    <sheet name="打印设置" sheetId="27" state="hidden" r:id="rId19"/>
  </sheets>
  <functionGroups builtInGroupCount="19"/>
  <definedNames>
    <definedName name="_xlnm._FilterDatabase" localSheetId="1" hidden="1">reg!#REF!</definedName>
    <definedName name="_xlnm._FilterDatabase" localSheetId="14" hidden="1">会计科目!$B$1:$M$1</definedName>
    <definedName name="_xlnm._FilterDatabase" localSheetId="8" hidden="1">明细账!#REF!</definedName>
    <definedName name="_xlnm._FilterDatabase" localSheetId="3" hidden="1">凭证管理!$B$2:$R$2</definedName>
    <definedName name="_xlnm._FilterDatabase" localSheetId="9" hidden="1">余额表!$B$3:$I$3</definedName>
    <definedName name="操作员">设置!$G$2:$G$11</definedName>
    <definedName name="单位名称">设置!$C$7</definedName>
    <definedName name="科目代码">会计科目!$B$3:$B$177</definedName>
    <definedName name="凭证字">设置!$F$2:$F$2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2" i="26" l="1"/>
  <c r="C3" i="26"/>
  <c r="D10" i="31" l="1"/>
  <c r="C3" i="31"/>
  <c r="I506" i="5" l="1"/>
  <c r="D18" i="11"/>
  <c r="C27" i="11"/>
  <c r="H14" i="10"/>
  <c r="H7" i="10"/>
  <c r="D25" i="10"/>
  <c r="C33" i="10"/>
  <c r="D7" i="10"/>
  <c r="D12" i="10"/>
  <c r="D24" i="10"/>
  <c r="C28" i="11"/>
  <c r="C19" i="10"/>
  <c r="D12" i="11"/>
  <c r="D9" i="10"/>
  <c r="D32" i="11"/>
  <c r="D8" i="11"/>
  <c r="C31" i="10"/>
  <c r="H20" i="10"/>
  <c r="C8" i="11"/>
  <c r="C17" i="11"/>
  <c r="D13" i="10"/>
  <c r="C14" i="11"/>
  <c r="G34" i="10"/>
  <c r="C24" i="11"/>
  <c r="G33" i="10"/>
  <c r="D24" i="11"/>
  <c r="G8" i="10"/>
  <c r="G18" i="10"/>
  <c r="C9" i="10"/>
  <c r="D8" i="10"/>
  <c r="C17" i="10"/>
  <c r="C18" i="10"/>
  <c r="C8" i="10"/>
  <c r="C20" i="11"/>
  <c r="G11" i="10"/>
  <c r="C7" i="10"/>
  <c r="C32" i="11"/>
  <c r="D10" i="10"/>
  <c r="C33" i="11"/>
  <c r="C29" i="10"/>
  <c r="C23" i="11"/>
  <c r="H12" i="10"/>
  <c r="G20" i="10"/>
  <c r="D11" i="30"/>
  <c r="H13" i="10"/>
  <c r="D33" i="10"/>
  <c r="C11" i="10"/>
  <c r="D15" i="10"/>
  <c r="C31" i="11"/>
  <c r="D11" i="10"/>
  <c r="G19" i="10"/>
  <c r="C16" i="11"/>
  <c r="C27" i="10"/>
  <c r="D11" i="11"/>
  <c r="C18" i="11"/>
  <c r="D13" i="11"/>
  <c r="C32" i="10"/>
  <c r="D6" i="11"/>
  <c r="G13" i="10"/>
  <c r="H11" i="10"/>
  <c r="H9" i="10"/>
  <c r="C23" i="10"/>
  <c r="D21" i="11"/>
  <c r="D23" i="11"/>
  <c r="C11" i="11"/>
  <c r="D32" i="10"/>
  <c r="D26" i="11"/>
  <c r="C22" i="10"/>
  <c r="G10" i="10"/>
  <c r="D14" i="11"/>
  <c r="H18" i="10"/>
  <c r="C9" i="11"/>
  <c r="G7" i="10"/>
  <c r="C7" i="11"/>
  <c r="G6" i="10"/>
  <c r="C12" i="10"/>
  <c r="C5" i="11"/>
  <c r="C15" i="11"/>
  <c r="D28" i="11"/>
  <c r="H6" i="10"/>
  <c r="C6" i="10"/>
  <c r="G12" i="10"/>
  <c r="D14" i="10"/>
  <c r="D31" i="11"/>
  <c r="C29" i="11"/>
  <c r="D22" i="10"/>
  <c r="D34" i="10"/>
  <c r="D35" i="11"/>
  <c r="C22" i="11"/>
  <c r="D29" i="10"/>
  <c r="D30" i="10"/>
  <c r="C16" i="10"/>
  <c r="C19" i="11"/>
  <c r="G9" i="10"/>
  <c r="D9" i="11"/>
  <c r="C24" i="10"/>
  <c r="H33" i="10"/>
  <c r="C15" i="10"/>
  <c r="D15" i="11"/>
  <c r="C34" i="10"/>
  <c r="D10" i="11"/>
  <c r="C10" i="10"/>
  <c r="C10" i="11"/>
  <c r="D5" i="11"/>
  <c r="G14" i="10"/>
  <c r="C26" i="11"/>
  <c r="D33" i="11"/>
  <c r="D17" i="10"/>
  <c r="C30" i="10"/>
  <c r="G31" i="10"/>
  <c r="D27" i="10"/>
  <c r="C28" i="10"/>
  <c r="D16" i="10"/>
  <c r="C21" i="11"/>
  <c r="D17" i="11"/>
  <c r="D31" i="10"/>
  <c r="D22" i="11"/>
  <c r="C25" i="10"/>
  <c r="D6" i="10"/>
  <c r="H10" i="10"/>
  <c r="D20" i="11"/>
  <c r="D7" i="11"/>
  <c r="D19" i="11"/>
  <c r="D30" i="11"/>
  <c r="H19" i="10"/>
  <c r="D16" i="11"/>
  <c r="D27" i="11"/>
  <c r="H8" i="10"/>
  <c r="H34" i="10"/>
  <c r="D23" i="10"/>
  <c r="C13" i="11"/>
  <c r="C35" i="11"/>
  <c r="D18" i="10"/>
  <c r="G32" i="10"/>
  <c r="C13" i="10"/>
  <c r="D19" i="10"/>
  <c r="C14" i="10"/>
  <c r="H32" i="10"/>
  <c r="D28" i="10"/>
  <c r="D29" i="11"/>
  <c r="C6" i="11"/>
  <c r="H31" i="10"/>
  <c r="C30" i="11"/>
  <c r="C12" i="11"/>
  <c r="C22" i="23" l="1"/>
  <c r="E12" i="23"/>
  <c r="K506" i="5"/>
  <c r="A3" i="11"/>
  <c r="A3" i="10"/>
  <c r="D3" i="5"/>
  <c r="G1" i="23"/>
  <c r="E506" i="5" l="1"/>
  <c r="G22" i="10" l="1"/>
  <c r="C20" i="10"/>
  <c r="H22" i="10"/>
  <c r="H35" i="10"/>
  <c r="G35" i="10"/>
  <c r="D26" i="10"/>
  <c r="D35" i="10" s="1"/>
  <c r="G16" i="10"/>
  <c r="C25" i="11"/>
  <c r="C34" i="11" s="1"/>
  <c r="C36" i="11" s="1"/>
  <c r="C26" i="10"/>
  <c r="C35" i="10" s="1"/>
  <c r="D25" i="11"/>
  <c r="D34" i="11" s="1"/>
  <c r="D36" i="11" s="1"/>
  <c r="H16" i="10"/>
  <c r="D20" i="10"/>
  <c r="H23" i="10" l="1"/>
  <c r="H36" i="10" s="1"/>
  <c r="D36" i="10"/>
  <c r="G23" i="10"/>
  <c r="G36" i="10" s="1"/>
  <c r="C3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zwq</author>
  </authors>
  <commentList>
    <comment ref="Q2" authorId="0" shapeId="0" xr:uid="{175A37CB-32CC-42BE-AABB-F1740BC20D70}">
      <text>
        <r>
          <rPr>
            <b/>
            <sz val="9"/>
            <color indexed="81"/>
            <rFont val="Tahoma"/>
            <family val="2"/>
          </rPr>
          <t>zwq:
1</t>
        </r>
        <r>
          <rPr>
            <b/>
            <sz val="9"/>
            <color indexed="81"/>
            <rFont val="宋体"/>
            <family val="3"/>
            <charset val="134"/>
          </rPr>
          <t>审核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宋体"/>
            <family val="3"/>
            <charset val="134"/>
          </rPr>
          <t>未审核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" authorId="0" shapeId="0" xr:uid="{DCBCAA73-AD73-4ECA-957B-641A90C3CB9F}">
      <text>
        <r>
          <rPr>
            <b/>
            <sz val="9"/>
            <color indexed="81"/>
            <rFont val="Tahoma"/>
            <family val="2"/>
          </rPr>
          <t>zwq:
1</t>
        </r>
        <r>
          <rPr>
            <b/>
            <sz val="9"/>
            <color indexed="81"/>
            <rFont val="宋体"/>
            <family val="3"/>
            <charset val="134"/>
          </rPr>
          <t>记账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宋体"/>
            <family val="3"/>
            <charset val="134"/>
          </rPr>
          <t>未记账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zwq</author>
    <author>张吴清</author>
  </authors>
  <commentList>
    <comment ref="J2" authorId="0" shapeId="0" xr:uid="{00000000-0006-0000-0C00-000001000000}">
      <text>
        <r>
          <rPr>
            <sz val="9"/>
            <color indexed="81"/>
            <rFont val="宋体"/>
            <family val="3"/>
            <charset val="134"/>
          </rPr>
          <t>不用输入，自动计算获得</t>
        </r>
      </text>
    </comment>
    <comment ref="K2" authorId="1" shapeId="0" xr:uid="{E79ED2BC-7479-452E-8220-22969656635B}">
      <text>
        <r>
          <rPr>
            <sz val="9"/>
            <color indexed="81"/>
            <rFont val="宋体"/>
            <family val="3"/>
            <charset val="134"/>
          </rPr>
          <t xml:space="preserve">启用期间大于业务开始期间，需要输入此列
</t>
        </r>
      </text>
    </comment>
    <comment ref="L2" authorId="1" shapeId="0" xr:uid="{5E69C275-4325-49EA-8F4D-457D1C5FA18B}">
      <text>
        <r>
          <rPr>
            <sz val="9"/>
            <color indexed="81"/>
            <rFont val="宋体"/>
            <family val="3"/>
            <charset val="134"/>
          </rPr>
          <t xml:space="preserve">启用期间大于业务开始期间，需要输入此列
</t>
        </r>
      </text>
    </comment>
    <comment ref="M2" authorId="1" shapeId="0" xr:uid="{36946606-E03B-4EAC-8F06-040EC267D8A1}">
      <text>
        <r>
          <rPr>
            <sz val="9"/>
            <color indexed="81"/>
            <rFont val="宋体"/>
            <family val="3"/>
            <charset val="134"/>
          </rPr>
          <t>此列输入初始数据，期初余额为零可以不输入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zwq</author>
  </authors>
  <commentList>
    <comment ref="F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zwq: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凭证字不支持多个凭证字</t>
        </r>
      </text>
    </comment>
    <comment ref="B3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BeginPeriod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宋体"/>
            <family val="3"/>
            <charset val="134"/>
          </rPr>
          <t>月份就有业务凭证，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月份开始记账输入余额，则业务开始期间为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>，启用期间为</t>
        </r>
        <r>
          <rPr>
            <sz val="9"/>
            <color indexed="81"/>
            <rFont val="Tahoma"/>
            <family val="2"/>
          </rPr>
          <t>3</t>
        </r>
      </text>
    </comment>
    <comment ref="B4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OpenPeriod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大于或等于业务开始期间</t>
        </r>
      </text>
    </comment>
    <comment ref="B6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CurrentPeriod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zwq</author>
  </authors>
  <commentList>
    <comment ref="B3" authorId="0" shapeId="0" xr:uid="{00000000-0006-0000-1000-000001000000}">
      <text>
        <r>
          <rPr>
            <b/>
            <sz val="9"/>
            <color indexed="81"/>
            <rFont val="宋体"/>
            <family val="3"/>
            <charset val="134"/>
          </rPr>
          <t>最小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宋体"/>
            <family val="3"/>
            <charset val="134"/>
          </rPr>
          <t>行最大</t>
        </r>
        <r>
          <rPr>
            <b/>
            <sz val="9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宋体"/>
            <family val="3"/>
            <charset val="134"/>
          </rPr>
          <t>行</t>
        </r>
        <r>
          <rPr>
            <b/>
            <sz val="9"/>
            <color indexed="81"/>
            <rFont val="Tahoma"/>
            <family val="2"/>
          </rPr>
          <t>,</t>
        </r>
        <r>
          <rPr>
            <b/>
            <sz val="9"/>
            <color indexed="81"/>
            <rFont val="宋体"/>
            <family val="3"/>
            <charset val="134"/>
          </rPr>
          <t>默认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宋体"/>
            <family val="3"/>
            <charset val="134"/>
          </rPr>
          <t>行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" authorId="0" shapeId="0" xr:uid="{00000000-0006-0000-1000-000002000000}">
      <text>
        <r>
          <rPr>
            <b/>
            <sz val="9"/>
            <color indexed="81"/>
            <rFont val="宋体"/>
            <family val="3"/>
            <charset val="134"/>
          </rPr>
          <t>默认</t>
        </r>
        <r>
          <rPr>
            <b/>
            <sz val="9"/>
            <color indexed="81"/>
            <rFont val="Tahoma"/>
            <family val="2"/>
          </rPr>
          <t>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 shapeId="0" xr:uid="{00000000-0006-0000-1000-000003000000}">
      <text>
        <r>
          <rPr>
            <b/>
            <sz val="9"/>
            <color indexed="81"/>
            <rFont val="宋体"/>
            <family val="3"/>
            <charset val="134"/>
          </rPr>
          <t>默认</t>
        </r>
        <r>
          <rPr>
            <b/>
            <sz val="9"/>
            <color indexed="81"/>
            <rFont val="Tahoma"/>
            <family val="2"/>
          </rPr>
          <t>24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<sst xmlns="http://schemas.openxmlformats.org/spreadsheetml/2006/main" count="1813" uniqueCount="850">
  <si>
    <t>记 账 凭 证</t>
    <phoneticPr fontId="2" type="noConversion"/>
  </si>
  <si>
    <t>会计科目</t>
    <phoneticPr fontId="2" type="noConversion"/>
  </si>
  <si>
    <t>凭证录入</t>
    <phoneticPr fontId="2" type="noConversion"/>
  </si>
  <si>
    <t>凭证管理</t>
    <phoneticPr fontId="2" type="noConversion"/>
  </si>
  <si>
    <t>科目余额表</t>
    <phoneticPr fontId="2" type="noConversion"/>
  </si>
  <si>
    <t>附件数</t>
    <phoneticPr fontId="2" type="noConversion"/>
  </si>
  <si>
    <t>日期：</t>
    <phoneticPr fontId="2" type="noConversion"/>
  </si>
  <si>
    <t>银行存款</t>
  </si>
  <si>
    <t>张三</t>
  </si>
  <si>
    <t>1002</t>
  </si>
  <si>
    <t>库存现金</t>
  </si>
  <si>
    <t>其他货币资金</t>
  </si>
  <si>
    <t>短期投资</t>
  </si>
  <si>
    <t>应收票据</t>
  </si>
  <si>
    <t>应收账款</t>
    <phoneticPr fontId="2" type="noConversion"/>
  </si>
  <si>
    <t>预付账款</t>
  </si>
  <si>
    <t>其他应收款</t>
  </si>
  <si>
    <t>在途物资</t>
    <phoneticPr fontId="2" type="noConversion"/>
  </si>
  <si>
    <t>材料采购</t>
  </si>
  <si>
    <t>原材料</t>
    <phoneticPr fontId="2" type="noConversion"/>
  </si>
  <si>
    <t>材料成本差异</t>
  </si>
  <si>
    <t>周转材料</t>
    <phoneticPr fontId="2" type="noConversion"/>
  </si>
  <si>
    <t>库存商品</t>
  </si>
  <si>
    <t>商品进销差价</t>
    <phoneticPr fontId="2" type="noConversion"/>
  </si>
  <si>
    <t>委托加工物资</t>
  </si>
  <si>
    <t>消耗性生物资产</t>
    <phoneticPr fontId="2" type="noConversion"/>
  </si>
  <si>
    <t>长期股权投资</t>
    <phoneticPr fontId="2" type="noConversion"/>
  </si>
  <si>
    <t>长期债券投资</t>
    <phoneticPr fontId="2" type="noConversion"/>
  </si>
  <si>
    <t>固定资产</t>
  </si>
  <si>
    <t>累计折旧</t>
  </si>
  <si>
    <t>工程物资</t>
  </si>
  <si>
    <t>在建工程</t>
  </si>
  <si>
    <t>固定资产清理</t>
  </si>
  <si>
    <t>生产性生物资产</t>
    <phoneticPr fontId="2" type="noConversion"/>
  </si>
  <si>
    <t>生产性生物资产累计折旧</t>
    <phoneticPr fontId="2" type="noConversion"/>
  </si>
  <si>
    <t>无形资产</t>
  </si>
  <si>
    <t>累计摊销</t>
    <phoneticPr fontId="2" type="noConversion"/>
  </si>
  <si>
    <t>长期待摊费用</t>
    <phoneticPr fontId="2" type="noConversion"/>
  </si>
  <si>
    <t>待处理财产损溢</t>
    <phoneticPr fontId="2" type="noConversion"/>
  </si>
  <si>
    <t>短期借款</t>
  </si>
  <si>
    <t>应付票据</t>
  </si>
  <si>
    <t>应付账款</t>
  </si>
  <si>
    <t>预收账款</t>
  </si>
  <si>
    <t>应付职工薪酬</t>
  </si>
  <si>
    <t>应付利息</t>
  </si>
  <si>
    <t>应交税费</t>
  </si>
  <si>
    <t>其他应付款</t>
  </si>
  <si>
    <t>长期借款</t>
  </si>
  <si>
    <t>长期应付款</t>
  </si>
  <si>
    <t>递延收益</t>
  </si>
  <si>
    <t>实收资本</t>
    <phoneticPr fontId="2" type="noConversion"/>
  </si>
  <si>
    <t>资本公积</t>
  </si>
  <si>
    <t>盈余公积</t>
  </si>
  <si>
    <t>本年利润</t>
  </si>
  <si>
    <t>利润分配</t>
  </si>
  <si>
    <t>生产成本</t>
  </si>
  <si>
    <t>制造费用</t>
  </si>
  <si>
    <t>研发支出</t>
    <phoneticPr fontId="2" type="noConversion"/>
  </si>
  <si>
    <t>工程施工</t>
  </si>
  <si>
    <t>机械作业</t>
  </si>
  <si>
    <t>主营业务收入</t>
  </si>
  <si>
    <t>其他业务收入</t>
  </si>
  <si>
    <t>投资收益</t>
  </si>
  <si>
    <t>营业外收入</t>
  </si>
  <si>
    <t>主营业务成本</t>
  </si>
  <si>
    <t>营业税金及附加</t>
  </si>
  <si>
    <t>其他业务成本</t>
  </si>
  <si>
    <t>销售费用</t>
  </si>
  <si>
    <t>管理费用</t>
  </si>
  <si>
    <t>财务费用</t>
  </si>
  <si>
    <t>营业外支出</t>
  </si>
  <si>
    <t>所得税费用</t>
    <phoneticPr fontId="2" type="noConversion"/>
  </si>
  <si>
    <t>科目代码</t>
    <phoneticPr fontId="10" type="noConversion"/>
  </si>
  <si>
    <t>科目名称</t>
    <phoneticPr fontId="10" type="noConversion"/>
  </si>
  <si>
    <t>应收利息</t>
  </si>
  <si>
    <t>应收股利</t>
    <phoneticPr fontId="2" type="noConversion"/>
  </si>
  <si>
    <t>借贷方向</t>
    <phoneticPr fontId="10" type="noConversion"/>
  </si>
  <si>
    <t>借方</t>
    <phoneticPr fontId="10" type="noConversion"/>
  </si>
  <si>
    <t>贷方</t>
    <phoneticPr fontId="10" type="noConversion"/>
  </si>
  <si>
    <t>科目全称</t>
    <phoneticPr fontId="10" type="noConversion"/>
  </si>
  <si>
    <t>科目类型</t>
    <phoneticPr fontId="10" type="noConversion"/>
  </si>
  <si>
    <t>币别</t>
    <phoneticPr fontId="10" type="noConversion"/>
  </si>
  <si>
    <t>是否现金科目</t>
    <phoneticPr fontId="10" type="noConversion"/>
  </si>
  <si>
    <t>是否银行科目</t>
    <phoneticPr fontId="10" type="noConversion"/>
  </si>
  <si>
    <t>是否现金等价科目</t>
    <phoneticPr fontId="10" type="noConversion"/>
  </si>
  <si>
    <t>上级科目内码</t>
    <phoneticPr fontId="10" type="noConversion"/>
  </si>
  <si>
    <t>科目内码</t>
    <phoneticPr fontId="10" type="noConversion"/>
  </si>
  <si>
    <t>是否末级科目</t>
    <phoneticPr fontId="10" type="noConversion"/>
  </si>
  <si>
    <t>科目级别</t>
    <phoneticPr fontId="10" type="noConversion"/>
  </si>
  <si>
    <t>1001</t>
  </si>
  <si>
    <t>1012</t>
  </si>
  <si>
    <t>1101</t>
  </si>
  <si>
    <t>1121</t>
  </si>
  <si>
    <t>1132</t>
  </si>
  <si>
    <t>1221</t>
  </si>
  <si>
    <t>1401</t>
  </si>
  <si>
    <t>1402</t>
  </si>
  <si>
    <t>在途物资</t>
  </si>
  <si>
    <t>1403</t>
  </si>
  <si>
    <t>原材料</t>
  </si>
  <si>
    <t>1404</t>
  </si>
  <si>
    <t>1405</t>
  </si>
  <si>
    <t>1407</t>
  </si>
  <si>
    <t>商品进销差价</t>
  </si>
  <si>
    <t>1408</t>
  </si>
  <si>
    <t>1411</t>
  </si>
  <si>
    <t>周转材料</t>
  </si>
  <si>
    <t>1421</t>
  </si>
  <si>
    <t>消耗性生物资产</t>
  </si>
  <si>
    <t>1501</t>
  </si>
  <si>
    <t>长期债券投资</t>
  </si>
  <si>
    <t>1511</t>
  </si>
  <si>
    <t>长期股权投资</t>
  </si>
  <si>
    <t>1601</t>
  </si>
  <si>
    <t>1602</t>
  </si>
  <si>
    <t>1604</t>
  </si>
  <si>
    <t>1605</t>
  </si>
  <si>
    <t>1606</t>
  </si>
  <si>
    <t>1621</t>
  </si>
  <si>
    <t>生产性生物资产</t>
  </si>
  <si>
    <t>1622</t>
  </si>
  <si>
    <t>生产性生物资产累计折旧</t>
  </si>
  <si>
    <t>1701</t>
  </si>
  <si>
    <t>1702</t>
  </si>
  <si>
    <t>累计摊销</t>
  </si>
  <si>
    <t>1801</t>
  </si>
  <si>
    <t>长期待摊费用</t>
  </si>
  <si>
    <t>1901</t>
  </si>
  <si>
    <t>待处理财产损溢</t>
  </si>
  <si>
    <t>2001</t>
  </si>
  <si>
    <t>2201</t>
  </si>
  <si>
    <t>2202</t>
  </si>
  <si>
    <t>2203</t>
  </si>
  <si>
    <t>2211</t>
  </si>
  <si>
    <t>2221</t>
  </si>
  <si>
    <t>2231</t>
  </si>
  <si>
    <t>2241</t>
  </si>
  <si>
    <t>2401</t>
  </si>
  <si>
    <t>2501</t>
  </si>
  <si>
    <t>2701</t>
  </si>
  <si>
    <t>3001</t>
  </si>
  <si>
    <t>实收资本</t>
  </si>
  <si>
    <t>3002</t>
  </si>
  <si>
    <t>3101</t>
  </si>
  <si>
    <t>3103</t>
  </si>
  <si>
    <t>3104</t>
  </si>
  <si>
    <t>4001</t>
  </si>
  <si>
    <t>4101</t>
  </si>
  <si>
    <t>4301</t>
  </si>
  <si>
    <t>研发支出</t>
  </si>
  <si>
    <t>4401</t>
  </si>
  <si>
    <t>4403</t>
  </si>
  <si>
    <t>5001</t>
  </si>
  <si>
    <t>5051</t>
  </si>
  <si>
    <t>5111</t>
  </si>
  <si>
    <t>5301</t>
  </si>
  <si>
    <t>5401</t>
  </si>
  <si>
    <t>5402</t>
  </si>
  <si>
    <t>5403</t>
  </si>
  <si>
    <t>5601</t>
  </si>
  <si>
    <t>5602</t>
  </si>
  <si>
    <t>5603</t>
  </si>
  <si>
    <t>5711</t>
  </si>
  <si>
    <t>5801</t>
  </si>
  <si>
    <t>所得税费用</t>
  </si>
  <si>
    <t>借方</t>
  </si>
  <si>
    <t>贷方</t>
  </si>
  <si>
    <t>基础资料</t>
    <phoneticPr fontId="2" type="noConversion"/>
  </si>
  <si>
    <t>记</t>
    <phoneticPr fontId="2" type="noConversion"/>
  </si>
  <si>
    <t>操作员</t>
    <phoneticPr fontId="2" type="noConversion"/>
  </si>
  <si>
    <t>张三</t>
    <phoneticPr fontId="2" type="noConversion"/>
  </si>
  <si>
    <t>李四</t>
    <phoneticPr fontId="2" type="noConversion"/>
  </si>
  <si>
    <t>王五</t>
    <phoneticPr fontId="2" type="noConversion"/>
  </si>
  <si>
    <t>结转损益</t>
    <phoneticPr fontId="2" type="noConversion"/>
  </si>
  <si>
    <t>期末结账</t>
    <phoneticPr fontId="2" type="noConversion"/>
  </si>
  <si>
    <r>
      <t>资</t>
    </r>
    <r>
      <rPr>
        <b/>
        <sz val="18"/>
        <rFont val="Times New Roman"/>
        <family val="1"/>
      </rPr>
      <t xml:space="preserve"> </t>
    </r>
    <r>
      <rPr>
        <b/>
        <sz val="18"/>
        <rFont val="宋体"/>
        <family val="3"/>
        <charset val="134"/>
      </rPr>
      <t>产</t>
    </r>
    <r>
      <rPr>
        <b/>
        <sz val="18"/>
        <rFont val="Times New Roman"/>
        <family val="1"/>
      </rPr>
      <t xml:space="preserve"> </t>
    </r>
    <r>
      <rPr>
        <b/>
        <sz val="18"/>
        <rFont val="宋体"/>
        <family val="3"/>
        <charset val="134"/>
      </rPr>
      <t>负</t>
    </r>
    <r>
      <rPr>
        <b/>
        <sz val="18"/>
        <rFont val="Times New Roman"/>
        <family val="1"/>
      </rPr>
      <t xml:space="preserve"> </t>
    </r>
    <r>
      <rPr>
        <b/>
        <sz val="18"/>
        <rFont val="宋体"/>
        <family val="3"/>
        <charset val="134"/>
      </rPr>
      <t>债</t>
    </r>
    <r>
      <rPr>
        <b/>
        <sz val="18"/>
        <rFont val="Times New Roman"/>
        <family val="1"/>
      </rPr>
      <t xml:space="preserve"> </t>
    </r>
    <r>
      <rPr>
        <b/>
        <sz val="18"/>
        <rFont val="宋体"/>
        <family val="3"/>
        <charset val="134"/>
      </rPr>
      <t>表</t>
    </r>
  </si>
  <si>
    <t>会工01表</t>
  </si>
  <si>
    <t>单位：元</t>
  </si>
  <si>
    <t>行次</t>
  </si>
  <si>
    <t>流动资产：</t>
  </si>
  <si>
    <t>非流动负债：</t>
  </si>
  <si>
    <t>非流动资产：</t>
  </si>
  <si>
    <t xml:space="preserve">    减：累计折旧</t>
  </si>
  <si>
    <r>
      <t>利</t>
    </r>
    <r>
      <rPr>
        <b/>
        <sz val="18"/>
        <rFont val="Times New Roman"/>
        <family val="1"/>
      </rPr>
      <t xml:space="preserve">    </t>
    </r>
    <r>
      <rPr>
        <b/>
        <sz val="18"/>
        <rFont val="宋体"/>
        <family val="3"/>
        <charset val="134"/>
      </rPr>
      <t>润</t>
    </r>
    <r>
      <rPr>
        <b/>
        <sz val="18"/>
        <rFont val="Times New Roman"/>
        <family val="1"/>
      </rPr>
      <t xml:space="preserve">    </t>
    </r>
    <r>
      <rPr>
        <b/>
        <sz val="18"/>
        <rFont val="宋体"/>
        <family val="3"/>
        <charset val="134"/>
      </rPr>
      <t>表</t>
    </r>
  </si>
  <si>
    <t>1122</t>
  </si>
  <si>
    <t>应收账款</t>
  </si>
  <si>
    <t>记</t>
  </si>
  <si>
    <t>借方金额</t>
    <phoneticPr fontId="27" type="noConversion"/>
  </si>
  <si>
    <t>贷方金额</t>
    <phoneticPr fontId="27" type="noConversion"/>
  </si>
  <si>
    <t>余额</t>
    <phoneticPr fontId="27" type="noConversion"/>
  </si>
  <si>
    <t>当前期间</t>
    <phoneticPr fontId="29" type="noConversion"/>
  </si>
  <si>
    <t>启用期间</t>
    <phoneticPr fontId="29" type="noConversion"/>
  </si>
  <si>
    <t>资产</t>
    <phoneticPr fontId="2" type="noConversion"/>
  </si>
  <si>
    <t>单位名称</t>
    <phoneticPr fontId="29" type="noConversion"/>
  </si>
  <si>
    <t>初始化是否结束</t>
    <phoneticPr fontId="29" type="noConversion"/>
  </si>
  <si>
    <t>结束1，未结束0</t>
    <phoneticPr fontId="29" type="noConversion"/>
  </si>
  <si>
    <t>期间</t>
  </si>
  <si>
    <t>期间</t>
    <phoneticPr fontId="27" type="noConversion"/>
  </si>
  <si>
    <t>本年利润科目</t>
    <phoneticPr fontId="29" type="noConversion"/>
  </si>
  <si>
    <t>3103</t>
    <phoneticPr fontId="29" type="noConversion"/>
  </si>
  <si>
    <t>备注</t>
    <phoneticPr fontId="29" type="noConversion"/>
  </si>
  <si>
    <t>数值</t>
    <phoneticPr fontId="29" type="noConversion"/>
  </si>
  <si>
    <t>关键字</t>
    <phoneticPr fontId="29" type="noConversion"/>
  </si>
  <si>
    <t>凭证字</t>
    <phoneticPr fontId="29" type="noConversion"/>
  </si>
  <si>
    <t>文本格式</t>
    <phoneticPr fontId="29" type="noConversion"/>
  </si>
  <si>
    <t>资   产_x0001_</t>
  </si>
  <si>
    <t>期末余额</t>
  </si>
  <si>
    <t>年初余额</t>
  </si>
  <si>
    <t xml:space="preserve">流动负债：              </t>
  </si>
  <si>
    <t xml:space="preserve">    货币资金</t>
  </si>
  <si>
    <t xml:space="preserve">    短期借款</t>
  </si>
  <si>
    <t xml:space="preserve">    短期投资</t>
  </si>
  <si>
    <t xml:space="preserve">    应付票据              </t>
  </si>
  <si>
    <t xml:space="preserve">    应收票据</t>
  </si>
  <si>
    <t xml:space="preserve">    应付账款              </t>
  </si>
  <si>
    <t xml:space="preserve">    应收账款</t>
  </si>
  <si>
    <t xml:space="preserve">    预收账款              </t>
  </si>
  <si>
    <t xml:space="preserve">    预付账款</t>
  </si>
  <si>
    <t xml:space="preserve">    应付职工薪酬              </t>
  </si>
  <si>
    <t xml:space="preserve">    应收股利</t>
  </si>
  <si>
    <t xml:space="preserve">    应交税费              </t>
  </si>
  <si>
    <t xml:space="preserve">    应收利息</t>
  </si>
  <si>
    <t xml:space="preserve">    应付利息            </t>
  </si>
  <si>
    <t xml:space="preserve">    其他应收款</t>
  </si>
  <si>
    <t xml:space="preserve">    应付利润</t>
  </si>
  <si>
    <t xml:space="preserve">    存货</t>
  </si>
  <si>
    <t xml:space="preserve">    其他应付款</t>
  </si>
  <si>
    <t xml:space="preserve">        其中：原材料</t>
  </si>
  <si>
    <t xml:space="preserve">    其他流动负债          </t>
  </si>
  <si>
    <t xml:space="preserve">    长期借款</t>
  </si>
  <si>
    <t xml:space="preserve">    其他流动资产</t>
  </si>
  <si>
    <t xml:space="preserve">    长期应付款</t>
  </si>
  <si>
    <t xml:space="preserve">    递延收益</t>
  </si>
  <si>
    <t xml:space="preserve">    其他非流动负债</t>
  </si>
  <si>
    <t xml:space="preserve">    长期债券投资</t>
  </si>
  <si>
    <t xml:space="preserve">    长期股权投资</t>
  </si>
  <si>
    <t xml:space="preserve">    固定资产原价</t>
  </si>
  <si>
    <t xml:space="preserve">    固定资产账面价值</t>
  </si>
  <si>
    <t xml:space="preserve">    在建工程</t>
  </si>
  <si>
    <t xml:space="preserve">    工程物资</t>
  </si>
  <si>
    <t xml:space="preserve">    固定资产清理</t>
  </si>
  <si>
    <t xml:space="preserve">    生产性生物资产</t>
  </si>
  <si>
    <t xml:space="preserve">    无形资产</t>
  </si>
  <si>
    <t xml:space="preserve">    实收资本（或股本）</t>
  </si>
  <si>
    <t xml:space="preserve">    开发支出</t>
  </si>
  <si>
    <t xml:space="preserve">    资本公积 </t>
  </si>
  <si>
    <t xml:space="preserve">    长期待摊费用</t>
  </si>
  <si>
    <t xml:space="preserve">    盈余公积</t>
  </si>
  <si>
    <t xml:space="preserve">    其他非流动资产</t>
  </si>
  <si>
    <t xml:space="preserve">    未分配利润</t>
  </si>
  <si>
    <t>负债和所有者权益</t>
    <phoneticPr fontId="2" type="noConversion"/>
  </si>
  <si>
    <t>非流动负债合计</t>
    <phoneticPr fontId="2" type="noConversion"/>
  </si>
  <si>
    <t xml:space="preserve">流动负债合计   </t>
    <phoneticPr fontId="2" type="noConversion"/>
  </si>
  <si>
    <t>负债合计</t>
    <phoneticPr fontId="2" type="noConversion"/>
  </si>
  <si>
    <t>负债和所有者权益总计</t>
    <phoneticPr fontId="2" type="noConversion"/>
  </si>
  <si>
    <t>所有者权益合计</t>
    <phoneticPr fontId="2" type="noConversion"/>
  </si>
  <si>
    <t>所有者权益：</t>
    <phoneticPr fontId="2" type="noConversion"/>
  </si>
  <si>
    <t>非流动资产合计</t>
    <phoneticPr fontId="2" type="noConversion"/>
  </si>
  <si>
    <t>资产总计</t>
    <phoneticPr fontId="2" type="noConversion"/>
  </si>
  <si>
    <t>流动资产合计</t>
    <phoneticPr fontId="2" type="noConversion"/>
  </si>
  <si>
    <t xml:space="preserve">                在产品</t>
    <phoneticPr fontId="2" type="noConversion"/>
  </si>
  <si>
    <t xml:space="preserve">                库存商品</t>
    <phoneticPr fontId="2" type="noConversion"/>
  </si>
  <si>
    <t xml:space="preserve">                周转材料</t>
    <phoneticPr fontId="2" type="noConversion"/>
  </si>
  <si>
    <t>资产负债表</t>
    <phoneticPr fontId="2" type="noConversion"/>
  </si>
  <si>
    <t>系统设置</t>
    <phoneticPr fontId="2" type="noConversion"/>
  </si>
  <si>
    <t>利润表</t>
    <phoneticPr fontId="2" type="noConversion"/>
  </si>
  <si>
    <t>总账</t>
    <phoneticPr fontId="2" type="noConversion"/>
  </si>
  <si>
    <t>明细账</t>
    <phoneticPr fontId="2" type="noConversion"/>
  </si>
  <si>
    <t>项    目</t>
  </si>
  <si>
    <t>本年累计金额</t>
  </si>
  <si>
    <t>本月金额</t>
  </si>
  <si>
    <t xml:space="preserve">一、营业收入                          </t>
  </si>
  <si>
    <t xml:space="preserve">减：营业成本                        </t>
  </si>
  <si>
    <t xml:space="preserve">加：投资收益（损失以“-”号填列）    </t>
  </si>
  <si>
    <t xml:space="preserve">二、营业利润（亏损以“-”号填列）    </t>
  </si>
  <si>
    <t>加：营业外收入</t>
  </si>
  <si>
    <t xml:space="preserve">减：营业外支出                        </t>
  </si>
  <si>
    <t xml:space="preserve">三、利润总额（亏损总额以“-”号填列）    </t>
  </si>
  <si>
    <t xml:space="preserve">减：所得税费用                            </t>
  </si>
  <si>
    <t xml:space="preserve">四、净利润（净亏损以“-”号填列）        </t>
  </si>
  <si>
    <r>
      <t xml:space="preserve">            </t>
    </r>
    <r>
      <rPr>
        <sz val="9"/>
        <rFont val="宋体"/>
        <family val="3"/>
        <charset val="134"/>
      </rPr>
      <t>其中：开办费</t>
    </r>
  </si>
  <si>
    <t>1012.01</t>
  </si>
  <si>
    <t>1012.02</t>
  </si>
  <si>
    <t>1012.03</t>
  </si>
  <si>
    <t>1012.04</t>
  </si>
  <si>
    <t>信用证保证金</t>
  </si>
  <si>
    <t>1012.05</t>
  </si>
  <si>
    <t>外埠存款</t>
  </si>
  <si>
    <t>1101.01</t>
  </si>
  <si>
    <t>股票</t>
  </si>
  <si>
    <t>1101.02</t>
  </si>
  <si>
    <t>债券</t>
  </si>
  <si>
    <t>1101.03</t>
  </si>
  <si>
    <t>基金</t>
  </si>
  <si>
    <t>其他</t>
  </si>
  <si>
    <t>1123</t>
  </si>
  <si>
    <t>1131</t>
  </si>
  <si>
    <t>应收股利</t>
  </si>
  <si>
    <t>1412</t>
  </si>
  <si>
    <t>包装物</t>
  </si>
  <si>
    <t>1413</t>
  </si>
  <si>
    <t>低值易耗品</t>
  </si>
  <si>
    <t>1501.01</t>
  </si>
  <si>
    <t>面值</t>
  </si>
  <si>
    <t>1501.02</t>
  </si>
  <si>
    <t>溢折价</t>
  </si>
  <si>
    <t>1501.03</t>
  </si>
  <si>
    <t>应计利息</t>
  </si>
  <si>
    <t>1605.01</t>
  </si>
  <si>
    <t>专用材料</t>
  </si>
  <si>
    <t>1605.02</t>
  </si>
  <si>
    <t>专用设备</t>
  </si>
  <si>
    <t>1605.03</t>
  </si>
  <si>
    <t>工器具</t>
  </si>
  <si>
    <t>1621.01</t>
  </si>
  <si>
    <t>未成熟生产性生物资产</t>
  </si>
  <si>
    <t>1621.02</t>
  </si>
  <si>
    <t>成熟生产性生物资产</t>
  </si>
  <si>
    <t>1901.01</t>
  </si>
  <si>
    <t>待处理流动资产损溢</t>
  </si>
  <si>
    <t>1901.02</t>
  </si>
  <si>
    <t>待处理非流动资产损溢</t>
  </si>
  <si>
    <t>2211.01</t>
  </si>
  <si>
    <t>职工工资</t>
  </si>
  <si>
    <t>2211.02</t>
  </si>
  <si>
    <t>奖金、津贴和补贴</t>
  </si>
  <si>
    <t>2211.03</t>
  </si>
  <si>
    <t>职工福利费</t>
  </si>
  <si>
    <t>2211.04</t>
  </si>
  <si>
    <t>社会保险费</t>
  </si>
  <si>
    <t>2211.05</t>
  </si>
  <si>
    <t>住房公积金</t>
  </si>
  <si>
    <t>2211.06</t>
  </si>
  <si>
    <t>工会经费</t>
  </si>
  <si>
    <t>2211.07</t>
  </si>
  <si>
    <t>职工教育经费</t>
  </si>
  <si>
    <t>2211.08</t>
  </si>
  <si>
    <t>非货币性福利</t>
  </si>
  <si>
    <t>2211.09</t>
  </si>
  <si>
    <t>辞退福利</t>
  </si>
  <si>
    <t>2211.10</t>
  </si>
  <si>
    <t>2221.01</t>
  </si>
  <si>
    <t>增值税</t>
  </si>
  <si>
    <t>2221.01.01</t>
  </si>
  <si>
    <t>进项税额</t>
  </si>
  <si>
    <t>2221.01.02</t>
  </si>
  <si>
    <t>销项税额</t>
  </si>
  <si>
    <t>2221.01.03</t>
  </si>
  <si>
    <t>出口抵减内销产品应纳税额</t>
  </si>
  <si>
    <t>2221.01.04</t>
  </si>
  <si>
    <t>进项税额转出</t>
  </si>
  <si>
    <t>2221.01.05</t>
  </si>
  <si>
    <t>出口退税</t>
  </si>
  <si>
    <t>2221.01.06</t>
  </si>
  <si>
    <t>已交税金</t>
  </si>
  <si>
    <t>2221.02</t>
  </si>
  <si>
    <t>消费税</t>
  </si>
  <si>
    <t>2221.04</t>
  </si>
  <si>
    <t>城市维护建设税</t>
  </si>
  <si>
    <t>2221.05</t>
  </si>
  <si>
    <t>企业所得税</t>
  </si>
  <si>
    <t>2221.06</t>
  </si>
  <si>
    <t>资源税</t>
  </si>
  <si>
    <t>2221.07</t>
  </si>
  <si>
    <t>土地增值税</t>
  </si>
  <si>
    <t>2221.08</t>
  </si>
  <si>
    <t>城镇土地使用税</t>
  </si>
  <si>
    <t>2221.09</t>
  </si>
  <si>
    <t>房产税</t>
  </si>
  <si>
    <t>2221.10</t>
  </si>
  <si>
    <t>车船税</t>
  </si>
  <si>
    <t>2221.11</t>
  </si>
  <si>
    <t>教育费附加</t>
  </si>
  <si>
    <t>2221.12</t>
  </si>
  <si>
    <t>矿产资源补偿费</t>
  </si>
  <si>
    <t>2221.13</t>
  </si>
  <si>
    <t>排污费</t>
  </si>
  <si>
    <t>个人所得税</t>
  </si>
  <si>
    <t>2232</t>
  </si>
  <si>
    <t>应付利润</t>
  </si>
  <si>
    <t>3101.01</t>
  </si>
  <si>
    <t>法定盈余公积</t>
  </si>
  <si>
    <t>3101.02</t>
  </si>
  <si>
    <t>任意盈余公积</t>
  </si>
  <si>
    <t>3101.03</t>
  </si>
  <si>
    <t>职工奖励及福利基金</t>
  </si>
  <si>
    <t>3101.04</t>
  </si>
  <si>
    <t>储备基金</t>
  </si>
  <si>
    <t>3101.05</t>
  </si>
  <si>
    <t>企业发展基金</t>
  </si>
  <si>
    <t>3101.06</t>
  </si>
  <si>
    <t>利润归还投资</t>
  </si>
  <si>
    <t>3104.01</t>
  </si>
  <si>
    <t>3104.02</t>
  </si>
  <si>
    <t>未分配利润</t>
  </si>
  <si>
    <t>4001.01</t>
  </si>
  <si>
    <t>基本生产成本</t>
  </si>
  <si>
    <t>4001.02</t>
  </si>
  <si>
    <t>辅助生产成本</t>
  </si>
  <si>
    <t>4002</t>
  </si>
  <si>
    <t>劳务成本</t>
  </si>
  <si>
    <t>4101.01</t>
  </si>
  <si>
    <t>机物料消耗</t>
  </si>
  <si>
    <t>4101.02</t>
  </si>
  <si>
    <t>修理费</t>
  </si>
  <si>
    <t>4101.03</t>
  </si>
  <si>
    <t>职工薪酬</t>
  </si>
  <si>
    <t>4101.04</t>
  </si>
  <si>
    <t>折旧费</t>
  </si>
  <si>
    <t>4101.05</t>
  </si>
  <si>
    <t>办公费</t>
  </si>
  <si>
    <t>4101.06</t>
  </si>
  <si>
    <t>水电费</t>
  </si>
  <si>
    <t>4101.07</t>
  </si>
  <si>
    <t>停工损失</t>
  </si>
  <si>
    <t>4301.01</t>
  </si>
  <si>
    <t>费用化支出</t>
  </si>
  <si>
    <t>4301.02</t>
  </si>
  <si>
    <t>资本化支出</t>
  </si>
  <si>
    <t>4401.01</t>
  </si>
  <si>
    <t>合同成本</t>
  </si>
  <si>
    <t>4401.02</t>
  </si>
  <si>
    <t>间接费用</t>
  </si>
  <si>
    <t>5051.01</t>
  </si>
  <si>
    <t>销售材料</t>
  </si>
  <si>
    <t>5051.02</t>
  </si>
  <si>
    <t>出租固定资产</t>
  </si>
  <si>
    <t>5051.03</t>
  </si>
  <si>
    <t>出租无形资产</t>
  </si>
  <si>
    <t>5301.01</t>
  </si>
  <si>
    <t>非流动资产处置净收益</t>
  </si>
  <si>
    <t>5301.02</t>
  </si>
  <si>
    <t>政府补助</t>
  </si>
  <si>
    <t>5301.03</t>
  </si>
  <si>
    <t>捐赠收益</t>
  </si>
  <si>
    <t>5301.04</t>
  </si>
  <si>
    <t>盘盈收益</t>
  </si>
  <si>
    <t>5301.05</t>
  </si>
  <si>
    <t>汇兑收益</t>
  </si>
  <si>
    <t>5301.06</t>
  </si>
  <si>
    <t>出租包装物和商品的租金收入</t>
  </si>
  <si>
    <t>5301.07</t>
  </si>
  <si>
    <t>逾期未退包装物押金收益</t>
  </si>
  <si>
    <t>5301.08</t>
  </si>
  <si>
    <t>确实无法偿付的应付款项</t>
  </si>
  <si>
    <t>5301.09</t>
  </si>
  <si>
    <t>已作坏账损失处理后又收回的应收款项</t>
  </si>
  <si>
    <t>5301.10</t>
  </si>
  <si>
    <t>违约金收益</t>
  </si>
  <si>
    <t>5402.01</t>
  </si>
  <si>
    <t>销售材料的成本</t>
  </si>
  <si>
    <t>5402.02</t>
  </si>
  <si>
    <t>出租固定资产的折旧费</t>
  </si>
  <si>
    <t>5402.03</t>
  </si>
  <si>
    <t>出租无形资产的摊销额</t>
  </si>
  <si>
    <t>5403.01</t>
  </si>
  <si>
    <t>5403.03</t>
  </si>
  <si>
    <t>5403.04</t>
  </si>
  <si>
    <t>5403.05</t>
  </si>
  <si>
    <t>5403.06</t>
  </si>
  <si>
    <t>5403.07</t>
  </si>
  <si>
    <t>5403.08</t>
  </si>
  <si>
    <t>5403.09</t>
  </si>
  <si>
    <t>印花税</t>
  </si>
  <si>
    <t>5403.10</t>
  </si>
  <si>
    <t>5403.11</t>
  </si>
  <si>
    <t>5601.01</t>
  </si>
  <si>
    <t>5601.02</t>
  </si>
  <si>
    <t>商品维修费</t>
  </si>
  <si>
    <t>5601.03</t>
  </si>
  <si>
    <t>运输费</t>
  </si>
  <si>
    <t>5601.04</t>
  </si>
  <si>
    <t>装卸费</t>
  </si>
  <si>
    <t>5601.05</t>
  </si>
  <si>
    <t>包装费</t>
  </si>
  <si>
    <t>5601.06</t>
  </si>
  <si>
    <t>保险费</t>
  </si>
  <si>
    <t>5601.07</t>
  </si>
  <si>
    <t>广告费和业务宣传费</t>
  </si>
  <si>
    <t>5601.08</t>
  </si>
  <si>
    <t>展览费</t>
  </si>
  <si>
    <t>5602.01</t>
  </si>
  <si>
    <t>开办费</t>
  </si>
  <si>
    <t>5602.02</t>
  </si>
  <si>
    <t>5602.03</t>
  </si>
  <si>
    <t>5602.04</t>
  </si>
  <si>
    <t>5602.05</t>
  </si>
  <si>
    <t>5602.06</t>
  </si>
  <si>
    <t>差旅费</t>
  </si>
  <si>
    <t>5602.07</t>
  </si>
  <si>
    <t>5602.08</t>
  </si>
  <si>
    <t>业务招待费</t>
  </si>
  <si>
    <t>5602.09</t>
  </si>
  <si>
    <t>研究费用</t>
  </si>
  <si>
    <t>5602.10</t>
  </si>
  <si>
    <t>技术转让费</t>
  </si>
  <si>
    <t>5602.11</t>
  </si>
  <si>
    <t>长期待摊费用摊销</t>
  </si>
  <si>
    <t>5602.12</t>
  </si>
  <si>
    <t>财产保险费</t>
  </si>
  <si>
    <t>5602.13</t>
  </si>
  <si>
    <t>聘请中介机构费</t>
  </si>
  <si>
    <t>5602.14</t>
  </si>
  <si>
    <t>咨询费</t>
  </si>
  <si>
    <t>5602.15</t>
  </si>
  <si>
    <t>诉讼费</t>
  </si>
  <si>
    <t>5603.01</t>
  </si>
  <si>
    <t>利息费用</t>
  </si>
  <si>
    <t>5603.02</t>
  </si>
  <si>
    <t>汇兑损失</t>
  </si>
  <si>
    <t>5603.03</t>
  </si>
  <si>
    <t>手续费</t>
  </si>
  <si>
    <t>5603.04</t>
  </si>
  <si>
    <t>现金折扣</t>
  </si>
  <si>
    <t>5711.01</t>
  </si>
  <si>
    <t>存货的盘亏、毁损、报废损失</t>
  </si>
  <si>
    <t>5711.02</t>
  </si>
  <si>
    <t>非流动资产处置净损失</t>
  </si>
  <si>
    <t>5711.03</t>
  </si>
  <si>
    <t>坏账损失</t>
  </si>
  <si>
    <t>5711.04</t>
  </si>
  <si>
    <t>无法收回的长期债券投资损失</t>
  </si>
  <si>
    <t>5711.05</t>
  </si>
  <si>
    <t>无法收回的长期股权投资损失</t>
  </si>
  <si>
    <t>5711.06</t>
  </si>
  <si>
    <t>自然灾害等不可抗力因素造成的损失</t>
  </si>
  <si>
    <t>5711.07</t>
  </si>
  <si>
    <t>税收滞纳金、罚金、罚款</t>
  </si>
  <si>
    <t>5711.08</t>
  </si>
  <si>
    <t>被没收财物的损失</t>
  </si>
  <si>
    <t>5711.09</t>
  </si>
  <si>
    <t>捐赠支出</t>
  </si>
  <si>
    <t>5711.10</t>
  </si>
  <si>
    <t>赞助支出</t>
  </si>
  <si>
    <t>其他货币资金-银行汇票</t>
  </si>
  <si>
    <t>其他货币资金-信用卡</t>
  </si>
  <si>
    <t>其他货币资金-信用证保证金</t>
  </si>
  <si>
    <t>其他货币资金-外埠存款</t>
  </si>
  <si>
    <t>短期投资-股票</t>
  </si>
  <si>
    <t>短期投资-债券</t>
  </si>
  <si>
    <t>短期投资-基金</t>
  </si>
  <si>
    <t>短期投资-其他</t>
  </si>
  <si>
    <t>长期债券投资-面值</t>
  </si>
  <si>
    <t>长期债券投资-溢折价</t>
  </si>
  <si>
    <t>长期债券投资-应计利息</t>
  </si>
  <si>
    <t>工程物资-专用材料</t>
  </si>
  <si>
    <t>工程物资-专用设备</t>
  </si>
  <si>
    <t>工程物资-工器具</t>
  </si>
  <si>
    <t>生产性生物资产-未成熟生产性生物资产</t>
  </si>
  <si>
    <t>生产性生物资产-成熟生产性生物资产</t>
  </si>
  <si>
    <t>待处理财产损溢-待处理流动资产损溢</t>
  </si>
  <si>
    <t>待处理财产损溢-待处理非流动资产损溢</t>
  </si>
  <si>
    <t>应付职工薪酬-职工工资</t>
  </si>
  <si>
    <t>应付职工薪酬-奖金、津贴和补贴</t>
  </si>
  <si>
    <t>应付职工薪酬-职工福利费</t>
  </si>
  <si>
    <t>应付职工薪酬-社会保险费</t>
  </si>
  <si>
    <t>应付职工薪酬-住房公积金</t>
  </si>
  <si>
    <t>应付职工薪酬-工会经费</t>
  </si>
  <si>
    <t>应付职工薪酬-职工教育经费</t>
  </si>
  <si>
    <t>应付职工薪酬-非货币性福利</t>
  </si>
  <si>
    <t>应付职工薪酬-辞退福利</t>
  </si>
  <si>
    <t>应付职工薪酬-其他</t>
  </si>
  <si>
    <t>应交税费-增值税</t>
  </si>
  <si>
    <t>应交税费-增值税-进项税额</t>
  </si>
  <si>
    <t>应交税费-增值税-销项税额</t>
  </si>
  <si>
    <t>应交税费-增值税-出口抵减内销产品应纳税额</t>
  </si>
  <si>
    <t>应交税费-增值税-进项税额转出</t>
  </si>
  <si>
    <t>应交税费-增值税-出口退税</t>
  </si>
  <si>
    <t>应交税费-增值税-已交税金</t>
  </si>
  <si>
    <t>应交税费-消费税</t>
  </si>
  <si>
    <t>应交税费-城市维护建设税</t>
  </si>
  <si>
    <t>应交税费-企业所得税</t>
  </si>
  <si>
    <t>应交税费-资源税</t>
  </si>
  <si>
    <t>应交税费-土地增值税</t>
  </si>
  <si>
    <t>应交税费-城镇土地使用税</t>
  </si>
  <si>
    <t>应交税费-房产税</t>
  </si>
  <si>
    <t>应交税费-车船税</t>
  </si>
  <si>
    <t>应交税费-教育费附加</t>
  </si>
  <si>
    <t>应交税费-矿产资源补偿费</t>
  </si>
  <si>
    <t>应交税费-排污费</t>
  </si>
  <si>
    <t>应交税费-个人所得税</t>
  </si>
  <si>
    <t>盈余公积-法定盈余公积</t>
  </si>
  <si>
    <t>盈余公积-任意盈余公积</t>
  </si>
  <si>
    <t>盈余公积-职工奖励及福利基金</t>
  </si>
  <si>
    <t>盈余公积-储备基金</t>
  </si>
  <si>
    <t>盈余公积-企业发展基金</t>
  </si>
  <si>
    <t>盈余公积-利润归还投资</t>
  </si>
  <si>
    <t>利润分配-应付利润</t>
  </si>
  <si>
    <t>利润分配-未分配利润</t>
  </si>
  <si>
    <t>生产成本-基本生产成本</t>
  </si>
  <si>
    <t>生产成本-辅助生产成本</t>
  </si>
  <si>
    <t>制造费用-机物料消耗</t>
  </si>
  <si>
    <t>制造费用-修理费</t>
  </si>
  <si>
    <t>制造费用-职工薪酬</t>
  </si>
  <si>
    <t>制造费用-折旧费</t>
  </si>
  <si>
    <t>制造费用-办公费</t>
  </si>
  <si>
    <t>制造费用-水电费</t>
  </si>
  <si>
    <t>制造费用-停工损失</t>
  </si>
  <si>
    <t>研发支出-费用化支出</t>
  </si>
  <si>
    <t>研发支出-资本化支出</t>
  </si>
  <si>
    <t>工程施工-合同成本</t>
  </si>
  <si>
    <t>工程施工-间接费用</t>
  </si>
  <si>
    <t>其他业务收入-销售材料</t>
  </si>
  <si>
    <t>其他业务收入-出租固定资产</t>
  </si>
  <si>
    <t>其他业务收入-出租无形资产</t>
  </si>
  <si>
    <t>营业外收入-非流动资产处置净收益</t>
  </si>
  <si>
    <t>营业外收入-政府补助</t>
  </si>
  <si>
    <t>营业外收入-捐赠收益</t>
  </si>
  <si>
    <t>营业外收入-盘盈收益</t>
  </si>
  <si>
    <t>营业外收入-汇兑收益</t>
  </si>
  <si>
    <t>营业外收入-出租包装物和商品的租金收入</t>
  </si>
  <si>
    <t>营业外收入-逾期未退包装物押金收益</t>
  </si>
  <si>
    <t>营业外收入-确实无法偿付的应付款项</t>
  </si>
  <si>
    <t>营业外收入-已作坏账损失处理后又收回的应收款项</t>
  </si>
  <si>
    <t>营业外收入-违约金收益</t>
  </si>
  <si>
    <t>其他业务成本-销售材料的成本</t>
  </si>
  <si>
    <t>其他业务成本-出租固定资产的折旧费</t>
  </si>
  <si>
    <t>其他业务成本-出租无形资产的摊销额</t>
  </si>
  <si>
    <t>营业税金及附加-消费税</t>
  </si>
  <si>
    <t>营业税金及附加-城市维护建设税</t>
  </si>
  <si>
    <t>营业税金及附加-资源税</t>
  </si>
  <si>
    <t>营业税金及附加-土地增值税</t>
  </si>
  <si>
    <t>营业税金及附加-城镇土地使用税</t>
  </si>
  <si>
    <t>营业税金及附加-房产税</t>
  </si>
  <si>
    <t>营业税金及附加-车船税</t>
  </si>
  <si>
    <t>营业税金及附加-印花税</t>
  </si>
  <si>
    <t>营业税金及附加-教育费附加</t>
  </si>
  <si>
    <t>营业税金及附加-矿产资源补偿费</t>
  </si>
  <si>
    <t>营业税金及附加-排污费</t>
  </si>
  <si>
    <t>销售费用-职工薪酬</t>
  </si>
  <si>
    <t>销售费用-商品维修费</t>
  </si>
  <si>
    <t>销售费用-运输费</t>
  </si>
  <si>
    <t>销售费用-装卸费</t>
  </si>
  <si>
    <t>销售费用-包装费</t>
  </si>
  <si>
    <t>销售费用-保险费</t>
  </si>
  <si>
    <t>销售费用-广告费和业务宣传费</t>
  </si>
  <si>
    <t>销售费用-展览费</t>
  </si>
  <si>
    <t>管理费用-开办费</t>
  </si>
  <si>
    <t>管理费用-折旧费</t>
  </si>
  <si>
    <t>管理费用-修理费</t>
  </si>
  <si>
    <t>管理费用-办公费</t>
  </si>
  <si>
    <t>管理费用-水电费</t>
  </si>
  <si>
    <t>管理费用-差旅费</t>
  </si>
  <si>
    <t>管理费用-职工薪酬</t>
  </si>
  <si>
    <t>管理费用-业务招待费</t>
  </si>
  <si>
    <t>管理费用-研究费用</t>
  </si>
  <si>
    <t>管理费用-技术转让费</t>
  </si>
  <si>
    <t>管理费用-长期待摊费用摊销</t>
  </si>
  <si>
    <t>管理费用-财产保险费</t>
  </si>
  <si>
    <t>管理费用-聘请中介机构费</t>
  </si>
  <si>
    <t>管理费用-咨询费</t>
  </si>
  <si>
    <t>管理费用-诉讼费</t>
  </si>
  <si>
    <t>财务费用-利息费用</t>
  </si>
  <si>
    <t>财务费用-汇兑损失</t>
  </si>
  <si>
    <t>财务费用-手续费</t>
  </si>
  <si>
    <t>财务费用-现金折扣</t>
  </si>
  <si>
    <t>营业外支出-存货的盘亏、毁损、报废损失</t>
  </si>
  <si>
    <t>营业外支出-非流动资产处置净损失</t>
  </si>
  <si>
    <t>营业外支出-坏账损失</t>
  </si>
  <si>
    <t>营业外支出-无法收回的长期债券投资损失</t>
  </si>
  <si>
    <t>营业外支出-无法收回的长期股权投资损失</t>
  </si>
  <si>
    <t>营业外支出-自然灾害等不可抗力因素造成的损失</t>
  </si>
  <si>
    <t>营业外支出-税收滞纳金、罚金、罚款</t>
  </si>
  <si>
    <t>营业外支出-被没收财物的损失</t>
  </si>
  <si>
    <t>营业外支出-捐赠支出</t>
  </si>
  <si>
    <t>营业外支出-赞助支出</t>
  </si>
  <si>
    <t/>
  </si>
  <si>
    <t>period</t>
    <phoneticPr fontId="27" type="noConversion"/>
  </si>
  <si>
    <t>acc_num</t>
    <phoneticPr fontId="27" type="noConversion"/>
  </si>
  <si>
    <t>acc_fullname</t>
    <phoneticPr fontId="27" type="noConversion"/>
  </si>
  <si>
    <t>cord</t>
    <phoneticPr fontId="27" type="noConversion"/>
  </si>
  <si>
    <t>begindebit</t>
    <phoneticPr fontId="27" type="noConversion"/>
  </si>
  <si>
    <t>begincredit</t>
    <phoneticPr fontId="27" type="noConversion"/>
  </si>
  <si>
    <t>debit</t>
    <phoneticPr fontId="27" type="noConversion"/>
  </si>
  <si>
    <t>credit</t>
    <phoneticPr fontId="27" type="noConversion"/>
  </si>
  <si>
    <t>totaldebit</t>
    <phoneticPr fontId="27" type="noConversion"/>
  </si>
  <si>
    <t>totalcredit</t>
    <phoneticPr fontId="27" type="noConversion"/>
  </si>
  <si>
    <t>acc_level</t>
    <phoneticPr fontId="27" type="noConversion"/>
  </si>
  <si>
    <t>Code</t>
    <phoneticPr fontId="2" type="noConversion"/>
  </si>
  <si>
    <t>RegCode</t>
    <phoneticPr fontId="2" type="noConversion"/>
  </si>
  <si>
    <t>Reg</t>
    <phoneticPr fontId="2" type="noConversion"/>
  </si>
  <si>
    <t>S2SMJ9GDC04258</t>
  </si>
  <si>
    <t>19170674371925</t>
  </si>
  <si>
    <t xml:space="preserve">    营业税金及附加             </t>
    <phoneticPr fontId="2" type="noConversion"/>
  </si>
  <si>
    <t xml:space="preserve">    销售费用</t>
    <phoneticPr fontId="2" type="noConversion"/>
  </si>
  <si>
    <t xml:space="preserve">      其中：商品修理费</t>
    <phoneticPr fontId="2" type="noConversion"/>
  </si>
  <si>
    <t xml:space="preserve">      其中：消费税</t>
    <phoneticPr fontId="2" type="noConversion"/>
  </si>
  <si>
    <t xml:space="preserve">            营业税</t>
    <phoneticPr fontId="2" type="noConversion"/>
  </si>
  <si>
    <t xml:space="preserve">            城市维护建设税</t>
    <phoneticPr fontId="2" type="noConversion"/>
  </si>
  <si>
    <t xml:space="preserve">            资源税</t>
    <phoneticPr fontId="2" type="noConversion"/>
  </si>
  <si>
    <t xml:space="preserve">            土地增值税</t>
    <phoneticPr fontId="2" type="noConversion"/>
  </si>
  <si>
    <t xml:space="preserve">            城镇土地使用税、房产税、车船税、印花税</t>
    <phoneticPr fontId="2" type="noConversion"/>
  </si>
  <si>
    <t xml:space="preserve">            教育费附加、矿产资源补偿费、排污费</t>
    <phoneticPr fontId="2" type="noConversion"/>
  </si>
  <si>
    <t xml:space="preserve">            广告费和业务宣传费</t>
    <phoneticPr fontId="2" type="noConversion"/>
  </si>
  <si>
    <t xml:space="preserve">    管理费用</t>
    <phoneticPr fontId="2" type="noConversion"/>
  </si>
  <si>
    <t xml:space="preserve">            业务招待费</t>
    <phoneticPr fontId="2" type="noConversion"/>
  </si>
  <si>
    <t xml:space="preserve">            研究费用</t>
    <phoneticPr fontId="2" type="noConversion"/>
  </si>
  <si>
    <t xml:space="preserve">    财务费用</t>
    <phoneticPr fontId="2" type="noConversion"/>
  </si>
  <si>
    <r>
      <t xml:space="preserve">            </t>
    </r>
    <r>
      <rPr>
        <sz val="9"/>
        <rFont val="宋体"/>
        <family val="3"/>
        <charset val="134"/>
      </rPr>
      <t>其中：利息费用（收入以“</t>
    </r>
    <r>
      <rPr>
        <sz val="9"/>
        <rFont val="Times New Roman"/>
        <family val="1"/>
      </rPr>
      <t>-</t>
    </r>
    <r>
      <rPr>
        <sz val="9"/>
        <rFont val="宋体"/>
        <family val="3"/>
        <charset val="134"/>
      </rPr>
      <t>”号填列）</t>
    </r>
    <phoneticPr fontId="2" type="noConversion"/>
  </si>
  <si>
    <t xml:space="preserve">      其中：政府补助</t>
    <phoneticPr fontId="2" type="noConversion"/>
  </si>
  <si>
    <t xml:space="preserve">      其中：坏账损失</t>
    <phoneticPr fontId="2" type="noConversion"/>
  </si>
  <si>
    <t xml:space="preserve">            无法收回的长期债券投资损失</t>
    <phoneticPr fontId="2" type="noConversion"/>
  </si>
  <si>
    <t xml:space="preserve">            无法收回的长期股权投资损失</t>
    <phoneticPr fontId="2" type="noConversion"/>
  </si>
  <si>
    <t xml:space="preserve">            自然灾害等不可抗力因素造成的损失</t>
    <phoneticPr fontId="2" type="noConversion"/>
  </si>
  <si>
    <t xml:space="preserve">            税收滞纳金</t>
    <phoneticPr fontId="2" type="noConversion"/>
  </si>
  <si>
    <t>李四</t>
  </si>
  <si>
    <t>借</t>
  </si>
  <si>
    <t>科目类别</t>
    <phoneticPr fontId="10" type="noConversion"/>
  </si>
  <si>
    <t>上级科目</t>
    <phoneticPr fontId="10" type="noConversion"/>
  </si>
  <si>
    <t>初始累计借方</t>
    <phoneticPr fontId="10" type="noConversion"/>
  </si>
  <si>
    <t>初始累计贷方</t>
    <phoneticPr fontId="10" type="noConversion"/>
  </si>
  <si>
    <t>余额方向</t>
    <phoneticPr fontId="10" type="noConversion"/>
  </si>
  <si>
    <t>资产</t>
    <phoneticPr fontId="2" type="noConversion"/>
  </si>
  <si>
    <t>借方</t>
    <phoneticPr fontId="28" type="noConversion"/>
  </si>
  <si>
    <t>资产</t>
    <phoneticPr fontId="2" type="noConversion"/>
  </si>
  <si>
    <t>资产</t>
    <phoneticPr fontId="2" type="noConversion"/>
  </si>
  <si>
    <t>资产</t>
    <phoneticPr fontId="2" type="noConversion"/>
  </si>
  <si>
    <t>资产</t>
    <phoneticPr fontId="2" type="noConversion"/>
  </si>
  <si>
    <t>资产</t>
    <phoneticPr fontId="2" type="noConversion"/>
  </si>
  <si>
    <t>负债</t>
    <phoneticPr fontId="2" type="noConversion"/>
  </si>
  <si>
    <t>负债</t>
    <phoneticPr fontId="2" type="noConversion"/>
  </si>
  <si>
    <t>负债</t>
    <phoneticPr fontId="2" type="noConversion"/>
  </si>
  <si>
    <t>权益</t>
    <phoneticPr fontId="2" type="noConversion"/>
  </si>
  <si>
    <t>成本</t>
    <phoneticPr fontId="2" type="noConversion"/>
  </si>
  <si>
    <t>损益</t>
    <phoneticPr fontId="2" type="noConversion"/>
  </si>
  <si>
    <t>损益</t>
    <phoneticPr fontId="2" type="noConversion"/>
  </si>
  <si>
    <t>浙江晴天服饰有限公司</t>
    <phoneticPr fontId="29" type="noConversion"/>
  </si>
  <si>
    <t>本期合计</t>
  </si>
  <si>
    <t>本年累计</t>
  </si>
  <si>
    <t>业务开始期间</t>
    <phoneticPr fontId="29" type="noConversion"/>
  </si>
  <si>
    <t>会计科目颜色设置</t>
    <phoneticPr fontId="29" type="noConversion"/>
  </si>
  <si>
    <t>摘要</t>
  </si>
  <si>
    <t>借方金额</t>
  </si>
  <si>
    <t>贷方金额</t>
  </si>
  <si>
    <t>方向</t>
  </si>
  <si>
    <t>余额</t>
  </si>
  <si>
    <t>排序</t>
  </si>
  <si>
    <t>科目代码</t>
  </si>
  <si>
    <t>科目名称</t>
  </si>
  <si>
    <t>凭证字号</t>
  </si>
  <si>
    <t>日期</t>
    <phoneticPr fontId="45" type="noConversion"/>
  </si>
  <si>
    <t>摘要</t>
    <phoneticPr fontId="45" type="noConversion"/>
  </si>
  <si>
    <t>借方</t>
    <phoneticPr fontId="45" type="noConversion"/>
  </si>
  <si>
    <t>贷方</t>
    <phoneticPr fontId="45" type="noConversion"/>
  </si>
  <si>
    <t>方向</t>
    <phoneticPr fontId="45" type="noConversion"/>
  </si>
  <si>
    <t>余额</t>
    <phoneticPr fontId="45" type="noConversion"/>
  </si>
  <si>
    <t>差旅费</t>
    <phoneticPr fontId="45" type="noConversion"/>
  </si>
  <si>
    <t>办公费</t>
    <phoneticPr fontId="45" type="noConversion"/>
  </si>
  <si>
    <t>凭证字号</t>
    <phoneticPr fontId="45" type="noConversion"/>
  </si>
  <si>
    <t>财务处理</t>
    <phoneticPr fontId="2" type="noConversion"/>
  </si>
  <si>
    <t>报表分析</t>
    <phoneticPr fontId="2" type="noConversion"/>
  </si>
  <si>
    <t>边框颜色</t>
    <phoneticPr fontId="29" type="noConversion"/>
  </si>
  <si>
    <t>非明细科目背景颜色</t>
    <phoneticPr fontId="29" type="noConversion"/>
  </si>
  <si>
    <t>会 计 科 目</t>
    <phoneticPr fontId="2" type="noConversion"/>
  </si>
  <si>
    <t>摘要</t>
    <phoneticPr fontId="2" type="noConversion"/>
  </si>
  <si>
    <t>借方金额</t>
    <phoneticPr fontId="2" type="noConversion"/>
  </si>
  <si>
    <t>贷方金额</t>
    <phoneticPr fontId="2" type="noConversion"/>
  </si>
  <si>
    <t>单位：</t>
    <phoneticPr fontId="2" type="noConversion"/>
  </si>
  <si>
    <t>记账:</t>
    <phoneticPr fontId="2" type="noConversion"/>
  </si>
  <si>
    <t>审核:</t>
    <phoneticPr fontId="2" type="noConversion"/>
  </si>
  <si>
    <t>制单：</t>
    <phoneticPr fontId="2" type="noConversion"/>
  </si>
  <si>
    <t>合计</t>
    <phoneticPr fontId="2" type="noConversion"/>
  </si>
  <si>
    <t>边框颜色</t>
    <phoneticPr fontId="29" type="noConversion"/>
  </si>
  <si>
    <t>年初余额颜色</t>
    <phoneticPr fontId="29" type="noConversion"/>
  </si>
  <si>
    <t>期初余额颜色</t>
    <phoneticPr fontId="29" type="noConversion"/>
  </si>
  <si>
    <t>本年累计颜色</t>
    <phoneticPr fontId="29" type="noConversion"/>
  </si>
  <si>
    <t>凭证薄颜色设置</t>
    <phoneticPr fontId="29" type="noConversion"/>
  </si>
  <si>
    <t>边框颜色</t>
    <phoneticPr fontId="2" type="noConversion"/>
  </si>
  <si>
    <t>单行背景色</t>
    <phoneticPr fontId="2" type="noConversion"/>
  </si>
  <si>
    <t>双行背景色</t>
    <phoneticPr fontId="2" type="noConversion"/>
  </si>
  <si>
    <t>摘要</t>
    <phoneticPr fontId="27" type="noConversion"/>
  </si>
  <si>
    <t>总分类账</t>
    <phoneticPr fontId="2" type="noConversion"/>
  </si>
  <si>
    <t>明细分类账</t>
    <phoneticPr fontId="2" type="noConversion"/>
  </si>
  <si>
    <t>明细账颜色设置</t>
    <phoneticPr fontId="29" type="noConversion"/>
  </si>
  <si>
    <t>总账颜色设置</t>
    <phoneticPr fontId="29" type="noConversion"/>
  </si>
  <si>
    <t>科目余额表颜色设置</t>
    <phoneticPr fontId="29" type="noConversion"/>
  </si>
  <si>
    <t>张三</t>
    <phoneticPr fontId="2" type="noConversion"/>
  </si>
  <si>
    <t>币别：人民币</t>
    <phoneticPr fontId="2" type="noConversion"/>
  </si>
  <si>
    <t>币别：人民币</t>
    <phoneticPr fontId="27" type="noConversion"/>
  </si>
  <si>
    <t>期初余额</t>
  </si>
  <si>
    <t>最后一行颜色</t>
    <phoneticPr fontId="45" type="noConversion"/>
  </si>
  <si>
    <t>凭证打印设置</t>
    <phoneticPr fontId="45" type="noConversion"/>
  </si>
  <si>
    <t>每页打印行数</t>
    <phoneticPr fontId="45" type="noConversion"/>
  </si>
  <si>
    <t>行高</t>
    <phoneticPr fontId="45" type="noConversion"/>
  </si>
  <si>
    <t>最后空行行高</t>
    <phoneticPr fontId="45" type="noConversion"/>
  </si>
  <si>
    <t>记</t>
    <phoneticPr fontId="2" type="noConversion"/>
  </si>
  <si>
    <t>合计</t>
    <phoneticPr fontId="45" type="noConversion"/>
  </si>
  <si>
    <t>第0页  共4页</t>
    <phoneticPr fontId="45" type="noConversion"/>
  </si>
  <si>
    <t>记账：</t>
    <phoneticPr fontId="45" type="noConversion"/>
  </si>
  <si>
    <t>制单：</t>
    <phoneticPr fontId="45" type="noConversion"/>
  </si>
  <si>
    <t>审核：</t>
    <phoneticPr fontId="45" type="noConversion"/>
  </si>
  <si>
    <t>现金流量表</t>
    <phoneticPr fontId="2" type="noConversion"/>
  </si>
  <si>
    <t>颜色设置</t>
    <phoneticPr fontId="2" type="noConversion"/>
  </si>
  <si>
    <t>打印设置</t>
    <phoneticPr fontId="2" type="noConversion"/>
  </si>
  <si>
    <t>启用年度</t>
    <phoneticPr fontId="29" type="noConversion"/>
  </si>
  <si>
    <t>当前年度</t>
    <phoneticPr fontId="29" type="noConversion"/>
  </si>
  <si>
    <t>库存现金_人民币</t>
  </si>
  <si>
    <t>1001.01</t>
  </si>
  <si>
    <t>会计期间</t>
    <phoneticPr fontId="2" type="noConversion"/>
  </si>
  <si>
    <t>凭证日期</t>
    <phoneticPr fontId="2" type="noConversion"/>
  </si>
  <si>
    <t>凭证字</t>
    <phoneticPr fontId="2" type="noConversion"/>
  </si>
  <si>
    <t>凭证号</t>
    <phoneticPr fontId="2" type="noConversion"/>
  </si>
  <si>
    <t>行号</t>
    <phoneticPr fontId="2" type="noConversion"/>
  </si>
  <si>
    <t>科目代码</t>
    <phoneticPr fontId="2" type="noConversion"/>
  </si>
  <si>
    <t>科目全称</t>
    <phoneticPr fontId="2" type="noConversion"/>
  </si>
  <si>
    <t>制单人</t>
    <phoneticPr fontId="2" type="noConversion"/>
  </si>
  <si>
    <t>审核人</t>
    <phoneticPr fontId="2" type="noConversion"/>
  </si>
  <si>
    <t>记账人</t>
    <phoneticPr fontId="2" type="noConversion"/>
  </si>
  <si>
    <t>是否审核</t>
    <phoneticPr fontId="2" type="noConversion"/>
  </si>
  <si>
    <t>是否记账</t>
    <phoneticPr fontId="2" type="noConversion"/>
  </si>
  <si>
    <t>会计年度</t>
    <phoneticPr fontId="30" type="noConversion"/>
  </si>
  <si>
    <t>科目名称</t>
    <phoneticPr fontId="2" type="noConversion"/>
  </si>
  <si>
    <t>本期借方</t>
    <phoneticPr fontId="2" type="noConversion"/>
  </si>
  <si>
    <t>本期贷方</t>
    <phoneticPr fontId="2" type="noConversion"/>
  </si>
  <si>
    <t>累计借方</t>
    <phoneticPr fontId="2" type="noConversion"/>
  </si>
  <si>
    <t>累计贷方</t>
    <phoneticPr fontId="2" type="noConversion"/>
  </si>
  <si>
    <t>方向</t>
    <phoneticPr fontId="2" type="noConversion"/>
  </si>
  <si>
    <t>期初余额</t>
    <phoneticPr fontId="2" type="noConversion"/>
  </si>
  <si>
    <t>期末余额</t>
    <phoneticPr fontId="2" type="noConversion"/>
  </si>
  <si>
    <t>其他货币资金</t>
    <phoneticPr fontId="2" type="noConversion"/>
  </si>
  <si>
    <t>银行汇票</t>
    <phoneticPr fontId="2" type="noConversion"/>
  </si>
  <si>
    <t>银行本票</t>
    <phoneticPr fontId="2" type="noConversion"/>
  </si>
  <si>
    <t>信用卡</t>
    <phoneticPr fontId="2" type="noConversion"/>
  </si>
  <si>
    <t>其他货币资金-银行本票</t>
    <phoneticPr fontId="2" type="noConversion"/>
  </si>
  <si>
    <t>平衡</t>
    <phoneticPr fontId="28" type="noConversion"/>
  </si>
  <si>
    <t>是否末级</t>
    <phoneticPr fontId="10" type="noConversion"/>
  </si>
  <si>
    <t>贷</t>
  </si>
  <si>
    <t>合计</t>
  </si>
  <si>
    <t>年度</t>
    <phoneticPr fontId="2" type="noConversion"/>
  </si>
  <si>
    <t>日期</t>
    <phoneticPr fontId="2" type="noConversion"/>
  </si>
  <si>
    <t>凭证字号</t>
    <phoneticPr fontId="2" type="noConversion"/>
  </si>
  <si>
    <t>余额</t>
    <phoneticPr fontId="2" type="noConversion"/>
  </si>
  <si>
    <t>1001.01-库存现金_人民币</t>
    <phoneticPr fontId="2" type="noConversion"/>
  </si>
  <si>
    <t>本月合计颜色</t>
    <phoneticPr fontId="29" type="noConversion"/>
  </si>
  <si>
    <t>年度</t>
    <phoneticPr fontId="27" type="noConversion"/>
  </si>
  <si>
    <t>初始余额</t>
    <phoneticPr fontId="10" type="noConversion"/>
  </si>
  <si>
    <t>初始期初余额</t>
    <phoneticPr fontId="10" type="noConversion"/>
  </si>
  <si>
    <t>本月合计</t>
  </si>
  <si>
    <t>1001-库存现金</t>
    <phoneticPr fontId="27" type="noConversion"/>
  </si>
  <si>
    <t>平</t>
  </si>
  <si>
    <r>
      <t>会工</t>
    </r>
    <r>
      <rPr>
        <sz val="11"/>
        <rFont val="Times New Roman"/>
        <family val="1"/>
      </rPr>
      <t>02</t>
    </r>
    <r>
      <rPr>
        <sz val="11"/>
        <rFont val="宋体"/>
        <family val="3"/>
        <charset val="134"/>
      </rPr>
      <t>表</t>
    </r>
  </si>
  <si>
    <r>
      <t>最后更新：2</t>
    </r>
    <r>
      <rPr>
        <sz val="11"/>
        <color indexed="8"/>
        <rFont val="宋体"/>
        <family val="3"/>
        <charset val="134"/>
      </rPr>
      <t>0</t>
    </r>
    <r>
      <rPr>
        <sz val="11"/>
        <color theme="1"/>
        <rFont val="宋体"/>
        <family val="3"/>
        <charset val="134"/>
        <scheme val="minor"/>
      </rPr>
      <t>19</t>
    </r>
    <r>
      <rPr>
        <sz val="11"/>
        <color indexed="8"/>
        <rFont val="宋体"/>
        <family val="3"/>
        <charset val="134"/>
      </rPr>
      <t>年10月3</t>
    </r>
    <r>
      <rPr>
        <sz val="11"/>
        <color theme="1"/>
        <rFont val="宋体"/>
        <family val="3"/>
        <charset val="134"/>
        <scheme val="minor"/>
      </rPr>
      <t>0</t>
    </r>
    <r>
      <rPr>
        <sz val="11"/>
        <color indexed="8"/>
        <rFont val="宋体"/>
        <family val="3"/>
        <charset val="134"/>
      </rPr>
      <t>日</t>
    </r>
    <phoneticPr fontId="2" type="noConversion"/>
  </si>
  <si>
    <t>期间：2019年第1期到第3期</t>
    <phoneticPr fontId="27" type="noConversion"/>
  </si>
  <si>
    <t>1101.98</t>
    <phoneticPr fontId="28" type="noConversion"/>
  </si>
  <si>
    <t>2221.03</t>
    <phoneticPr fontId="28" type="noConversion"/>
  </si>
  <si>
    <t>5403.02</t>
    <phoneticPr fontId="28" type="noConversion"/>
  </si>
  <si>
    <t>快狗财务</t>
    <phoneticPr fontId="2" type="noConversion"/>
  </si>
  <si>
    <t>版本：1.0</t>
    <phoneticPr fontId="2" type="noConversion"/>
  </si>
  <si>
    <t>快狗EXCEL财务系统</t>
    <phoneticPr fontId="2" type="noConversion"/>
  </si>
  <si>
    <t>系统说明请关注今日头条：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</si>
</sst>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-* #,##0_-;\-* #,##0_-;_-* &quot;-&quot;_-;_-@_-"/>
    <numFmt numFmtId="177" formatCode="0_ "/>
    <numFmt numFmtId="178" formatCode="yyyy&quot;年&quot;m&quot;月&quot;d&quot;日&quot;;@"/>
    <numFmt numFmtId="179" formatCode="#,##0.00;[Red]#,##0.00"/>
    <numFmt numFmtId="180" formatCode="0.00_);[Red]\(0.00\)"/>
    <numFmt numFmtId="181" formatCode="#,##0.00_ "/>
    <numFmt numFmtId="182" formatCode="yyyy&quot;年&quot;m&quot;月&quot;;@"/>
    <numFmt numFmtId="183" formatCode="[$-F800]dddd\,\ mmmm\ dd\,\ yyyy"/>
    <numFmt numFmtId="184" formatCode="0.00_ "/>
    <numFmt numFmtId="185" formatCode="yyyy/mm/dd;@"/>
    <numFmt numFmtId="186" formatCode="0_);[Red]\(0\)"/>
  </numFmts>
  <fonts count="65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b/>
      <u val="doubleAccounting"/>
      <sz val="20"/>
      <color indexed="57"/>
      <name val="楷体_GB2312"/>
      <family val="3"/>
      <charset val="134"/>
    </font>
    <font>
      <sz val="10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2"/>
      <color indexed="55"/>
      <name val="宋体"/>
      <family val="3"/>
      <charset val="134"/>
    </font>
    <font>
      <sz val="11"/>
      <color indexed="55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Times New Roman"/>
      <family val="1"/>
    </font>
    <font>
      <sz val="9"/>
      <name val="宋体"/>
      <family val="3"/>
      <charset val="134"/>
    </font>
    <font>
      <b/>
      <sz val="18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2"/>
      <color indexed="8"/>
      <name val="宋体"/>
      <family val="3"/>
      <charset val="134"/>
    </font>
    <font>
      <sz val="11"/>
      <name val="宋体"/>
      <family val="3"/>
      <charset val="134"/>
    </font>
    <font>
      <b/>
      <sz val="14"/>
      <name val="宋体"/>
      <family val="3"/>
      <charset val="134"/>
    </font>
    <font>
      <u/>
      <sz val="11"/>
      <name val="宋体"/>
      <family val="3"/>
      <charset val="134"/>
    </font>
    <font>
      <b/>
      <sz val="14"/>
      <color indexed="8"/>
      <name val="宋体"/>
      <family val="3"/>
      <charset val="134"/>
    </font>
    <font>
      <b/>
      <sz val="11"/>
      <color indexed="10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8"/>
      <name val="宋体"/>
      <family val="3"/>
      <charset val="134"/>
    </font>
    <font>
      <sz val="8"/>
      <name val="Times New Roman"/>
      <family val="1"/>
    </font>
    <font>
      <b/>
      <sz val="18"/>
      <name val="宋体"/>
      <family val="3"/>
      <charset val="134"/>
    </font>
    <font>
      <b/>
      <sz val="18"/>
      <name val="Times New Roman"/>
      <family val="1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1"/>
      <name val="宋体"/>
      <family val="3"/>
      <charset val="134"/>
      <scheme val="minor"/>
    </font>
    <font>
      <b/>
      <sz val="24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28"/>
      <color theme="9"/>
      <name val="宋体"/>
      <family val="3"/>
      <charset val="134"/>
      <scheme val="minor"/>
    </font>
    <font>
      <b/>
      <sz val="11"/>
      <name val="宋体"/>
      <family val="3"/>
      <charset val="134"/>
    </font>
    <font>
      <b/>
      <sz val="12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339966"/>
      <name val="宋体"/>
      <family val="3"/>
      <charset val="134"/>
    </font>
    <font>
      <b/>
      <sz val="11"/>
      <color theme="0"/>
      <name val="宋体"/>
      <family val="3"/>
      <charset val="134"/>
      <scheme val="minor"/>
    </font>
    <font>
      <b/>
      <sz val="20"/>
      <color indexed="57"/>
      <name val="宋体"/>
      <family val="3"/>
      <charset val="134"/>
    </font>
    <font>
      <b/>
      <sz val="11"/>
      <color rgb="FF339966"/>
      <name val="宋体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12"/>
      <color rgb="FF339966"/>
      <name val="宋体"/>
      <family val="3"/>
      <charset val="134"/>
    </font>
    <font>
      <sz val="11"/>
      <name val="Times New Roman"/>
      <family val="1"/>
    </font>
    <font>
      <b/>
      <sz val="14"/>
      <color theme="4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4"/>
      <color rgb="FFFF0000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</fills>
  <borders count="54">
    <border>
      <left/>
      <right/>
      <top/>
      <bottom/>
      <diagonal/>
    </border>
    <border>
      <left style="medium">
        <color indexed="57"/>
      </left>
      <right style="medium">
        <color indexed="57"/>
      </right>
      <top style="dashed">
        <color indexed="57"/>
      </top>
      <bottom style="dashed">
        <color indexed="57"/>
      </bottom>
      <diagonal/>
    </border>
    <border>
      <left style="medium">
        <color indexed="57"/>
      </left>
      <right style="medium">
        <color indexed="57"/>
      </right>
      <top/>
      <bottom style="dashed">
        <color indexed="57"/>
      </bottom>
      <diagonal/>
    </border>
    <border>
      <left style="dashed">
        <color indexed="57"/>
      </left>
      <right style="dashed">
        <color indexed="57"/>
      </right>
      <top style="dashed">
        <color indexed="57"/>
      </top>
      <bottom style="dashed">
        <color indexed="57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57"/>
      </left>
      <right style="dashed">
        <color indexed="57"/>
      </right>
      <top style="medium">
        <color indexed="57"/>
      </top>
      <bottom style="dashed">
        <color indexed="57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medium">
        <color indexed="17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57"/>
      </left>
      <right/>
      <top style="dashed">
        <color indexed="57"/>
      </top>
      <bottom style="dashed">
        <color indexed="57"/>
      </bottom>
      <diagonal/>
    </border>
    <border>
      <left/>
      <right style="dashed">
        <color indexed="57"/>
      </right>
      <top style="dashed">
        <color indexed="57"/>
      </top>
      <bottom style="dashed">
        <color indexed="57"/>
      </bottom>
      <diagonal/>
    </border>
    <border>
      <left style="medium">
        <color indexed="57"/>
      </left>
      <right/>
      <top style="dashed">
        <color indexed="57"/>
      </top>
      <bottom style="medium">
        <color indexed="57"/>
      </bottom>
      <diagonal/>
    </border>
    <border>
      <left/>
      <right style="dashed">
        <color indexed="57"/>
      </right>
      <top style="dashed">
        <color indexed="57"/>
      </top>
      <bottom style="medium">
        <color indexed="57"/>
      </bottom>
      <diagonal/>
    </border>
    <border>
      <left style="dashed">
        <color indexed="57"/>
      </left>
      <right/>
      <top/>
      <bottom style="dashed">
        <color indexed="57"/>
      </bottom>
      <diagonal/>
    </border>
    <border>
      <left/>
      <right style="dashed">
        <color indexed="57"/>
      </right>
      <top/>
      <bottom style="dashed">
        <color indexed="57"/>
      </bottom>
      <diagonal/>
    </border>
    <border>
      <left style="dashed">
        <color indexed="57"/>
      </left>
      <right/>
      <top style="medium">
        <color indexed="57"/>
      </top>
      <bottom style="medium">
        <color indexed="57"/>
      </bottom>
      <diagonal/>
    </border>
    <border>
      <left/>
      <right style="dashed">
        <color indexed="57"/>
      </right>
      <top style="medium">
        <color indexed="57"/>
      </top>
      <bottom style="medium">
        <color indexed="57"/>
      </bottom>
      <diagonal/>
    </border>
    <border>
      <left style="medium">
        <color indexed="57"/>
      </left>
      <right/>
      <top style="medium">
        <color indexed="57"/>
      </top>
      <bottom style="medium">
        <color indexed="57"/>
      </bottom>
      <diagonal/>
    </border>
    <border>
      <left/>
      <right/>
      <top style="medium">
        <color indexed="57"/>
      </top>
      <bottom style="medium">
        <color indexed="57"/>
      </bottom>
      <diagonal/>
    </border>
    <border>
      <left/>
      <right style="medium">
        <color indexed="57"/>
      </right>
      <top style="medium">
        <color indexed="57"/>
      </top>
      <bottom style="medium">
        <color indexed="57"/>
      </bottom>
      <diagonal/>
    </border>
    <border>
      <left style="dashed">
        <color indexed="57"/>
      </left>
      <right/>
      <top style="medium">
        <color indexed="57"/>
      </top>
      <bottom style="dashed">
        <color indexed="57"/>
      </bottom>
      <diagonal/>
    </border>
    <border>
      <left/>
      <right/>
      <top style="medium">
        <color indexed="57"/>
      </top>
      <bottom style="dashed">
        <color indexed="57"/>
      </bottom>
      <diagonal/>
    </border>
    <border>
      <left/>
      <right style="dashed">
        <color indexed="57"/>
      </right>
      <top style="medium">
        <color indexed="57"/>
      </top>
      <bottom style="dashed">
        <color indexed="57"/>
      </bottom>
      <diagonal/>
    </border>
    <border>
      <left style="dashed">
        <color indexed="57"/>
      </left>
      <right/>
      <top style="dashed">
        <color indexed="57"/>
      </top>
      <bottom style="dashed">
        <color indexed="57"/>
      </bottom>
      <diagonal/>
    </border>
    <border>
      <left/>
      <right/>
      <top style="dashed">
        <color indexed="57"/>
      </top>
      <bottom style="dashed">
        <color indexed="57"/>
      </bottom>
      <diagonal/>
    </border>
    <border>
      <left style="medium">
        <color indexed="57"/>
      </left>
      <right/>
      <top style="medium">
        <color indexed="57"/>
      </top>
      <bottom/>
      <diagonal/>
    </border>
    <border>
      <left/>
      <right/>
      <top style="medium">
        <color indexed="57"/>
      </top>
      <bottom/>
      <diagonal/>
    </border>
    <border>
      <left/>
      <right style="medium">
        <color indexed="57"/>
      </right>
      <top style="medium">
        <color indexed="57"/>
      </top>
      <bottom/>
      <diagonal/>
    </border>
    <border>
      <left style="medium">
        <color indexed="57"/>
      </left>
      <right/>
      <top/>
      <bottom style="medium">
        <color indexed="57"/>
      </bottom>
      <diagonal/>
    </border>
    <border>
      <left/>
      <right/>
      <top/>
      <bottom style="medium">
        <color indexed="57"/>
      </bottom>
      <diagonal/>
    </border>
    <border>
      <left/>
      <right style="medium">
        <color indexed="57"/>
      </right>
      <top/>
      <bottom style="medium">
        <color indexed="57"/>
      </bottom>
      <diagonal/>
    </border>
    <border>
      <left/>
      <right style="dashed">
        <color indexed="57"/>
      </right>
      <top style="medium">
        <color indexed="57"/>
      </top>
      <bottom/>
      <diagonal/>
    </border>
    <border>
      <left/>
      <right style="medium">
        <color indexed="57"/>
      </right>
      <top style="medium">
        <color indexed="57"/>
      </top>
      <bottom style="dashed">
        <color indexed="57"/>
      </bottom>
      <diagonal/>
    </border>
    <border>
      <left style="thin">
        <color indexed="64"/>
      </left>
      <right/>
      <top/>
      <bottom/>
      <diagonal/>
    </border>
    <border>
      <left style="medium">
        <color indexed="57"/>
      </left>
      <right/>
      <top/>
      <bottom/>
      <diagonal/>
    </border>
    <border>
      <left/>
      <right style="medium">
        <color indexed="57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medium">
        <color indexed="64"/>
      </top>
      <bottom style="thin">
        <color theme="9"/>
      </bottom>
      <diagonal/>
    </border>
    <border>
      <left style="thin">
        <color theme="9"/>
      </left>
      <right/>
      <top/>
      <bottom/>
      <diagonal/>
    </border>
    <border>
      <left style="thin">
        <color rgb="FF339966"/>
      </left>
      <right style="thin">
        <color rgb="FF339966"/>
      </right>
      <top style="thin">
        <color rgb="FF339966"/>
      </top>
      <bottom style="thin">
        <color rgb="FF339966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 style="thin">
        <color rgb="FFFF0000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</borders>
  <cellStyleXfs count="9">
    <xf numFmtId="0" fontId="0" fillId="0" borderId="0">
      <alignment vertical="center"/>
    </xf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/>
    <xf numFmtId="0" fontId="20" fillId="0" borderId="0"/>
    <xf numFmtId="0" fontId="36" fillId="0" borderId="0" applyNumberFormat="0" applyFill="0" applyBorder="0" applyAlignment="0" applyProtection="0">
      <alignment vertical="top"/>
      <protection locked="0"/>
    </xf>
    <xf numFmtId="176" fontId="8" fillId="0" borderId="0" applyFont="0" applyFill="0" applyBorder="0" applyAlignment="0" applyProtection="0">
      <alignment vertical="center"/>
    </xf>
  </cellStyleXfs>
  <cellXfs count="312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178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" xfId="0" applyFont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0" xfId="0" applyFill="1">
      <alignment vertical="center"/>
    </xf>
    <xf numFmtId="0" fontId="0" fillId="0" borderId="0" xfId="0" quotePrefix="1">
      <alignment vertical="center"/>
    </xf>
    <xf numFmtId="179" fontId="0" fillId="0" borderId="0" xfId="0" applyNumberFormat="1">
      <alignment vertical="center"/>
    </xf>
    <xf numFmtId="0" fontId="0" fillId="0" borderId="5" xfId="0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left"/>
    </xf>
    <xf numFmtId="0" fontId="0" fillId="0" borderId="5" xfId="0" applyBorder="1" applyAlignment="1"/>
    <xf numFmtId="0" fontId="38" fillId="0" borderId="5" xfId="0" applyFont="1" applyBorder="1" applyAlignment="1">
      <alignment horizontal="left" vertical="center"/>
    </xf>
    <xf numFmtId="0" fontId="38" fillId="0" borderId="5" xfId="0" applyFont="1" applyBorder="1">
      <alignment vertical="center"/>
    </xf>
    <xf numFmtId="0" fontId="1" fillId="0" borderId="5" xfId="0" applyFont="1" applyBorder="1">
      <alignment vertical="center"/>
    </xf>
    <xf numFmtId="0" fontId="0" fillId="0" borderId="0" xfId="0" applyFill="1" applyBorder="1">
      <alignment vertical="center"/>
    </xf>
    <xf numFmtId="180" fontId="0" fillId="0" borderId="0" xfId="0" applyNumberFormat="1">
      <alignment vertical="center"/>
    </xf>
    <xf numFmtId="49" fontId="4" fillId="0" borderId="6" xfId="0" applyNumberFormat="1" applyFont="1" applyBorder="1" applyAlignment="1">
      <alignment horizontal="left" vertical="center" wrapText="1"/>
    </xf>
    <xf numFmtId="49" fontId="4" fillId="0" borderId="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horizontal="left" vertical="center" shrinkToFit="1"/>
    </xf>
    <xf numFmtId="0" fontId="35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Fill="1">
      <alignment vertical="center"/>
    </xf>
    <xf numFmtId="0" fontId="36" fillId="0" borderId="0" xfId="7" applyAlignment="1" applyProtection="1">
      <alignment vertical="center"/>
    </xf>
    <xf numFmtId="0" fontId="14" fillId="0" borderId="0" xfId="0" applyFont="1">
      <alignment vertical="center"/>
    </xf>
    <xf numFmtId="0" fontId="39" fillId="0" borderId="0" xfId="0" applyFont="1">
      <alignment vertical="center"/>
    </xf>
    <xf numFmtId="0" fontId="40" fillId="0" borderId="0" xfId="7" applyFont="1" applyAlignment="1" applyProtection="1">
      <alignment vertical="center"/>
    </xf>
    <xf numFmtId="0" fontId="12" fillId="0" borderId="0" xfId="0" applyFont="1">
      <alignment vertical="center"/>
    </xf>
    <xf numFmtId="0" fontId="15" fillId="2" borderId="7" xfId="0" applyFont="1" applyFill="1" applyBorder="1">
      <alignment vertical="center"/>
    </xf>
    <xf numFmtId="0" fontId="16" fillId="2" borderId="0" xfId="0" applyFont="1" applyFill="1" applyBorder="1" applyAlignment="1">
      <alignment vertical="center"/>
    </xf>
    <xf numFmtId="0" fontId="17" fillId="2" borderId="9" xfId="7" applyFont="1" applyFill="1" applyBorder="1" applyAlignment="1" applyProtection="1">
      <alignment vertical="center"/>
    </xf>
    <xf numFmtId="0" fontId="15" fillId="2" borderId="9" xfId="0" applyFont="1" applyFill="1" applyBorder="1">
      <alignment vertical="center"/>
    </xf>
    <xf numFmtId="0" fontId="15" fillId="0" borderId="0" xfId="0" applyFont="1" applyFill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 applyAlignment="1">
      <alignment vertical="center"/>
    </xf>
    <xf numFmtId="0" fontId="0" fillId="3" borderId="11" xfId="0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16" fillId="2" borderId="0" xfId="0" applyFont="1" applyFill="1" applyBorder="1">
      <alignment vertical="center"/>
    </xf>
    <xf numFmtId="0" fontId="0" fillId="2" borderId="7" xfId="0" applyFill="1" applyBorder="1">
      <alignment vertical="center"/>
    </xf>
    <xf numFmtId="0" fontId="18" fillId="2" borderId="0" xfId="0" applyFont="1" applyFill="1" applyBorder="1">
      <alignment vertical="center"/>
    </xf>
    <xf numFmtId="0" fontId="0" fillId="2" borderId="9" xfId="0" applyFill="1" applyBorder="1">
      <alignment vertical="center"/>
    </xf>
    <xf numFmtId="0" fontId="19" fillId="0" borderId="0" xfId="0" applyFont="1">
      <alignment vertical="center"/>
    </xf>
    <xf numFmtId="0" fontId="13" fillId="0" borderId="0" xfId="0" applyFont="1">
      <alignment vertical="center"/>
    </xf>
    <xf numFmtId="0" fontId="38" fillId="0" borderId="0" xfId="0" applyFont="1">
      <alignment vertical="center"/>
    </xf>
    <xf numFmtId="0" fontId="38" fillId="0" borderId="0" xfId="0" applyFont="1">
      <alignment vertical="center"/>
    </xf>
    <xf numFmtId="0" fontId="20" fillId="0" borderId="0" xfId="1"/>
    <xf numFmtId="0" fontId="22" fillId="0" borderId="5" xfId="1" applyFont="1" applyFill="1" applyBorder="1" applyAlignment="1">
      <alignment horizontal="center" vertical="center"/>
    </xf>
    <xf numFmtId="181" fontId="23" fillId="0" borderId="5" xfId="1" applyNumberFormat="1" applyFont="1" applyFill="1" applyBorder="1" applyAlignment="1">
      <alignment vertical="center"/>
    </xf>
    <xf numFmtId="0" fontId="23" fillId="0" borderId="5" xfId="1" applyFont="1" applyFill="1" applyBorder="1" applyAlignment="1">
      <alignment horizontal="center" vertical="center"/>
    </xf>
    <xf numFmtId="0" fontId="23" fillId="4" borderId="5" xfId="1" applyFont="1" applyFill="1" applyBorder="1" applyAlignment="1">
      <alignment horizontal="center" vertical="center"/>
    </xf>
    <xf numFmtId="181" fontId="23" fillId="4" borderId="5" xfId="1" applyNumberFormat="1" applyFont="1" applyFill="1" applyBorder="1" applyAlignment="1">
      <alignment vertical="center"/>
    </xf>
    <xf numFmtId="0" fontId="20" fillId="0" borderId="0" xfId="6"/>
    <xf numFmtId="0" fontId="21" fillId="0" borderId="5" xfId="6" applyFont="1" applyBorder="1" applyAlignment="1">
      <alignment horizontal="left" vertical="center"/>
    </xf>
    <xf numFmtId="0" fontId="9" fillId="0" borderId="5" xfId="6" applyFont="1" applyBorder="1" applyAlignment="1">
      <alignment horizontal="left" vertical="center"/>
    </xf>
    <xf numFmtId="0" fontId="9" fillId="0" borderId="5" xfId="6" applyFont="1" applyBorder="1" applyAlignment="1">
      <alignment horizontal="center" vertical="center"/>
    </xf>
    <xf numFmtId="181" fontId="9" fillId="0" borderId="5" xfId="6" applyNumberFormat="1" applyFont="1" applyBorder="1" applyAlignment="1">
      <alignment vertical="center"/>
    </xf>
    <xf numFmtId="0" fontId="26" fillId="0" borderId="5" xfId="6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41" fillId="0" borderId="0" xfId="0" applyFont="1" applyFill="1" applyBorder="1" applyAlignment="1">
      <alignment horizontal="left" vertical="center"/>
    </xf>
    <xf numFmtId="0" fontId="23" fillId="5" borderId="5" xfId="1" applyFont="1" applyFill="1" applyBorder="1" applyAlignment="1">
      <alignment horizontal="center" vertical="center"/>
    </xf>
    <xf numFmtId="181" fontId="23" fillId="5" borderId="5" xfId="1" applyNumberFormat="1" applyFont="1" applyFill="1" applyBorder="1" applyAlignment="1">
      <alignment vertical="center"/>
    </xf>
    <xf numFmtId="0" fontId="31" fillId="0" borderId="5" xfId="1" applyFont="1" applyFill="1" applyBorder="1" applyAlignment="1">
      <alignment vertical="center"/>
    </xf>
    <xf numFmtId="0" fontId="31" fillId="5" borderId="5" xfId="1" applyFont="1" applyFill="1" applyBorder="1" applyAlignment="1">
      <alignment horizontal="center" vertical="center"/>
    </xf>
    <xf numFmtId="0" fontId="31" fillId="0" borderId="5" xfId="1" applyFont="1" applyFill="1" applyBorder="1" applyAlignment="1">
      <alignment horizontal="left" vertical="center"/>
    </xf>
    <xf numFmtId="0" fontId="31" fillId="4" borderId="5" xfId="1" applyFont="1" applyFill="1" applyBorder="1" applyAlignment="1">
      <alignment horizontal="center" vertical="center"/>
    </xf>
    <xf numFmtId="0" fontId="32" fillId="0" borderId="5" xfId="1" applyFont="1" applyFill="1" applyBorder="1" applyAlignment="1">
      <alignment horizontal="center" vertical="center"/>
    </xf>
    <xf numFmtId="0" fontId="31" fillId="0" borderId="5" xfId="1" applyFont="1" applyFill="1" applyBorder="1" applyAlignment="1">
      <alignment horizontal="center" vertical="center"/>
    </xf>
    <xf numFmtId="181" fontId="32" fillId="0" borderId="5" xfId="1" applyNumberFormat="1" applyFont="1" applyFill="1" applyBorder="1" applyAlignment="1">
      <alignment horizontal="center" vertical="center"/>
    </xf>
    <xf numFmtId="0" fontId="33" fillId="3" borderId="11" xfId="0" applyFont="1" applyFill="1" applyBorder="1" applyAlignment="1">
      <alignment horizontal="center" vertical="center"/>
    </xf>
    <xf numFmtId="0" fontId="37" fillId="3" borderId="11" xfId="0" applyFont="1" applyFill="1" applyBorder="1">
      <alignment vertical="center"/>
    </xf>
    <xf numFmtId="0" fontId="37" fillId="3" borderId="11" xfId="0" applyFont="1" applyFill="1" applyBorder="1" applyAlignment="1">
      <alignment horizontal="center" vertical="center"/>
    </xf>
    <xf numFmtId="0" fontId="42" fillId="0" borderId="0" xfId="0" applyFont="1" applyBorder="1" applyAlignment="1">
      <alignment vertical="center"/>
    </xf>
    <xf numFmtId="14" fontId="20" fillId="0" borderId="0" xfId="1" applyNumberFormat="1"/>
    <xf numFmtId="0" fontId="5" fillId="0" borderId="0" xfId="0" applyFont="1" applyFill="1" applyAlignment="1">
      <alignment vertical="center"/>
    </xf>
    <xf numFmtId="49" fontId="0" fillId="0" borderId="0" xfId="0" applyNumberFormat="1" applyAlignment="1">
      <alignment horizontal="left" vertical="top"/>
    </xf>
    <xf numFmtId="0" fontId="2" fillId="0" borderId="5" xfId="6" applyFont="1" applyBorder="1" applyAlignment="1">
      <alignment horizontal="left" vertical="center"/>
    </xf>
    <xf numFmtId="0" fontId="21" fillId="0" borderId="5" xfId="6" applyFont="1" applyFill="1" applyBorder="1" applyAlignment="1">
      <alignment horizontal="left" vertical="center"/>
    </xf>
    <xf numFmtId="0" fontId="9" fillId="0" borderId="5" xfId="6" applyFont="1" applyFill="1" applyBorder="1" applyAlignment="1">
      <alignment horizontal="center" vertical="center"/>
    </xf>
    <xf numFmtId="181" fontId="9" fillId="0" borderId="5" xfId="6" applyNumberFormat="1" applyFont="1" applyFill="1" applyBorder="1" applyAlignment="1">
      <alignment vertical="center"/>
    </xf>
    <xf numFmtId="0" fontId="34" fillId="0" borderId="5" xfId="6" applyFont="1" applyBorder="1" applyAlignment="1">
      <alignment horizontal="left" vertical="center"/>
    </xf>
    <xf numFmtId="0" fontId="9" fillId="5" borderId="5" xfId="6" applyFont="1" applyFill="1" applyBorder="1" applyAlignment="1">
      <alignment horizontal="left" vertical="center"/>
    </xf>
    <xf numFmtId="0" fontId="9" fillId="5" borderId="5" xfId="6" applyFont="1" applyFill="1" applyBorder="1" applyAlignment="1">
      <alignment horizontal="center" vertical="center"/>
    </xf>
    <xf numFmtId="181" fontId="9" fillId="5" borderId="5" xfId="6" applyNumberFormat="1" applyFont="1" applyFill="1" applyBorder="1" applyAlignment="1">
      <alignment vertical="center"/>
    </xf>
    <xf numFmtId="0" fontId="21" fillId="5" borderId="5" xfId="6" applyFont="1" applyFill="1" applyBorder="1" applyAlignment="1">
      <alignment horizontal="left" vertical="center"/>
    </xf>
    <xf numFmtId="0" fontId="43" fillId="0" borderId="0" xfId="0" applyFont="1" applyBorder="1">
      <alignment vertical="center"/>
    </xf>
    <xf numFmtId="0" fontId="43" fillId="0" borderId="0" xfId="0" applyFont="1">
      <alignment vertical="center"/>
    </xf>
    <xf numFmtId="0" fontId="43" fillId="0" borderId="0" xfId="0" applyFont="1" applyFill="1">
      <alignment vertical="center"/>
    </xf>
    <xf numFmtId="49" fontId="43" fillId="0" borderId="0" xfId="0" applyNumberFormat="1" applyFont="1">
      <alignment vertical="center"/>
    </xf>
    <xf numFmtId="177" fontId="43" fillId="0" borderId="0" xfId="0" applyNumberFormat="1" applyFont="1">
      <alignment vertical="center"/>
    </xf>
    <xf numFmtId="184" fontId="43" fillId="0" borderId="0" xfId="0" applyNumberFormat="1" applyFont="1">
      <alignment vertical="center"/>
    </xf>
    <xf numFmtId="0" fontId="44" fillId="0" borderId="0" xfId="0" applyFont="1">
      <alignment vertical="center"/>
    </xf>
    <xf numFmtId="0" fontId="0" fillId="0" borderId="0" xfId="0" applyNumberFormat="1" applyAlignment="1">
      <alignment horizontal="right" vertical="center"/>
    </xf>
    <xf numFmtId="0" fontId="49" fillId="0" borderId="0" xfId="0" applyFont="1">
      <alignment vertical="center"/>
    </xf>
    <xf numFmtId="49" fontId="0" fillId="0" borderId="0" xfId="0" applyNumberFormat="1" applyFill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51" fillId="6" borderId="0" xfId="0" applyFont="1" applyFill="1" applyAlignment="1">
      <alignment vertical="center"/>
    </xf>
    <xf numFmtId="0" fontId="52" fillId="2" borderId="8" xfId="0" applyFont="1" applyFill="1" applyBorder="1" applyAlignment="1">
      <alignment horizontal="center" vertical="center"/>
    </xf>
    <xf numFmtId="0" fontId="15" fillId="6" borderId="8" xfId="0" applyFont="1" applyFill="1" applyBorder="1">
      <alignment vertical="center"/>
    </xf>
    <xf numFmtId="0" fontId="15" fillId="6" borderId="8" xfId="0" applyFont="1" applyFill="1" applyBorder="1" applyAlignment="1">
      <alignment vertical="center"/>
    </xf>
    <xf numFmtId="0" fontId="53" fillId="0" borderId="0" xfId="0" applyFont="1" applyAlignment="1">
      <alignment vertical="center"/>
    </xf>
    <xf numFmtId="0" fontId="53" fillId="0" borderId="0" xfId="0" applyFont="1" applyAlignment="1">
      <alignment horizontal="right" vertical="center"/>
    </xf>
    <xf numFmtId="0" fontId="0" fillId="0" borderId="0" xfId="0" applyAlignment="1">
      <alignment vertical="center" wrapText="1"/>
    </xf>
    <xf numFmtId="0" fontId="37" fillId="0" borderId="0" xfId="0" applyFont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0" fontId="24" fillId="0" borderId="0" xfId="0" applyFont="1" applyFill="1" applyBorder="1" applyAlignment="1">
      <alignment horizontal="left" vertical="center"/>
    </xf>
    <xf numFmtId="0" fontId="54" fillId="0" borderId="4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37" fillId="0" borderId="0" xfId="0" applyFont="1" applyAlignment="1">
      <alignment horizontal="right" vertical="center"/>
    </xf>
    <xf numFmtId="49" fontId="0" fillId="0" borderId="0" xfId="0" applyNumberFormat="1" applyBorder="1">
      <alignment vertical="center"/>
    </xf>
    <xf numFmtId="184" fontId="0" fillId="0" borderId="0" xfId="0" applyNumberFormat="1" applyBorder="1">
      <alignment vertical="center"/>
    </xf>
    <xf numFmtId="0" fontId="0" fillId="0" borderId="0" xfId="0" applyProtection="1">
      <alignment vertical="center"/>
    </xf>
    <xf numFmtId="0" fontId="56" fillId="14" borderId="0" xfId="0" applyFont="1" applyFill="1" applyProtection="1">
      <alignment vertical="center"/>
    </xf>
    <xf numFmtId="0" fontId="44" fillId="0" borderId="40" xfId="0" applyFont="1" applyBorder="1" applyProtection="1">
      <alignment vertical="center"/>
    </xf>
    <xf numFmtId="0" fontId="0" fillId="0" borderId="40" xfId="0" applyBorder="1" applyProtection="1">
      <alignment vertical="center"/>
    </xf>
    <xf numFmtId="0" fontId="0" fillId="0" borderId="39" xfId="0" applyBorder="1" applyProtection="1">
      <alignment vertical="center"/>
    </xf>
    <xf numFmtId="0" fontId="0" fillId="0" borderId="46" xfId="0" applyBorder="1" applyProtection="1">
      <alignment vertical="center"/>
    </xf>
    <xf numFmtId="0" fontId="0" fillId="0" borderId="0" xfId="0" applyFont="1" applyFill="1" applyBorder="1" applyProtection="1">
      <alignment vertical="center"/>
    </xf>
    <xf numFmtId="0" fontId="44" fillId="0" borderId="39" xfId="0" applyFont="1" applyBorder="1" applyProtection="1">
      <alignment vertical="center"/>
      <protection locked="0"/>
    </xf>
    <xf numFmtId="0" fontId="0" fillId="0" borderId="39" xfId="0" applyBorder="1" applyProtection="1">
      <alignment vertical="center"/>
      <protection locked="0"/>
    </xf>
    <xf numFmtId="49" fontId="0" fillId="0" borderId="39" xfId="0" applyNumberFormat="1" applyBorder="1" applyProtection="1">
      <alignment vertical="center"/>
      <protection locked="0"/>
    </xf>
    <xf numFmtId="0" fontId="0" fillId="0" borderId="40" xfId="0" applyFont="1" applyFill="1" applyBorder="1" applyProtection="1">
      <alignment vertical="center"/>
      <protection locked="0"/>
    </xf>
    <xf numFmtId="0" fontId="0" fillId="0" borderId="39" xfId="0" applyFont="1" applyFill="1" applyBorder="1" applyProtection="1">
      <alignment vertical="center"/>
      <protection locked="0"/>
    </xf>
    <xf numFmtId="0" fontId="0" fillId="0" borderId="47" xfId="0" applyBorder="1">
      <alignment vertical="center"/>
    </xf>
    <xf numFmtId="0" fontId="0" fillId="0" borderId="0" xfId="0" applyFill="1" applyBorder="1" applyAlignment="1">
      <alignment horizontal="left" vertical="center"/>
    </xf>
    <xf numFmtId="177" fontId="0" fillId="0" borderId="46" xfId="0" applyNumberFormat="1" applyBorder="1" applyProtection="1">
      <alignment vertical="center"/>
      <protection locked="0"/>
    </xf>
    <xf numFmtId="177" fontId="0" fillId="0" borderId="40" xfId="0" applyNumberFormat="1" applyBorder="1" applyProtection="1">
      <alignment vertical="center"/>
      <protection locked="0"/>
    </xf>
    <xf numFmtId="177" fontId="0" fillId="0" borderId="39" xfId="0" applyNumberFormat="1" applyBorder="1" applyProtection="1">
      <alignment vertical="center"/>
      <protection locked="0"/>
    </xf>
    <xf numFmtId="0" fontId="43" fillId="0" borderId="49" xfId="0" applyFont="1" applyBorder="1">
      <alignment vertical="center"/>
    </xf>
    <xf numFmtId="49" fontId="43" fillId="0" borderId="49" xfId="0" applyNumberFormat="1" applyFont="1" applyBorder="1">
      <alignment vertical="center"/>
    </xf>
    <xf numFmtId="177" fontId="43" fillId="0" borderId="49" xfId="0" applyNumberFormat="1" applyFont="1" applyBorder="1">
      <alignment vertical="center"/>
    </xf>
    <xf numFmtId="184" fontId="43" fillId="0" borderId="49" xfId="0" applyNumberFormat="1" applyFont="1" applyBorder="1" applyAlignment="1">
      <alignment horizontal="center" vertical="center"/>
    </xf>
    <xf numFmtId="0" fontId="44" fillId="0" borderId="49" xfId="0" applyFont="1" applyBorder="1">
      <alignment vertical="center"/>
    </xf>
    <xf numFmtId="0" fontId="43" fillId="0" borderId="49" xfId="0" applyFont="1" applyFill="1" applyBorder="1">
      <alignment vertical="center"/>
    </xf>
    <xf numFmtId="0" fontId="43" fillId="0" borderId="48" xfId="0" applyFont="1" applyFill="1" applyBorder="1">
      <alignment vertical="center"/>
    </xf>
    <xf numFmtId="49" fontId="56" fillId="14" borderId="50" xfId="0" applyNumberFormat="1" applyFont="1" applyFill="1" applyBorder="1" applyAlignment="1">
      <alignment horizontal="center" vertical="center" shrinkToFit="1"/>
    </xf>
    <xf numFmtId="0" fontId="43" fillId="0" borderId="51" xfId="0" applyFont="1" applyFill="1" applyBorder="1">
      <alignment vertical="center"/>
    </xf>
    <xf numFmtId="0" fontId="0" fillId="11" borderId="42" xfId="0" applyFill="1" applyBorder="1" applyAlignment="1">
      <alignment horizontal="left" vertical="center"/>
    </xf>
    <xf numFmtId="0" fontId="0" fillId="11" borderId="42" xfId="0" applyFill="1" applyBorder="1">
      <alignment vertical="center"/>
    </xf>
    <xf numFmtId="0" fontId="0" fillId="13" borderId="42" xfId="0" applyFill="1" applyBorder="1" applyAlignment="1">
      <alignment horizontal="left" vertical="center"/>
    </xf>
    <xf numFmtId="0" fontId="0" fillId="13" borderId="42" xfId="0" applyFill="1" applyBorder="1">
      <alignment vertical="center"/>
    </xf>
    <xf numFmtId="0" fontId="0" fillId="10" borderId="42" xfId="0" applyFill="1" applyBorder="1" applyAlignment="1">
      <alignment horizontal="left" vertical="center"/>
    </xf>
    <xf numFmtId="0" fontId="0" fillId="10" borderId="42" xfId="0" applyFill="1" applyBorder="1">
      <alignment vertical="center"/>
    </xf>
    <xf numFmtId="185" fontId="0" fillId="0" borderId="0" xfId="0" applyNumberFormat="1" applyAlignment="1">
      <alignment horizontal="right" vertical="center"/>
    </xf>
    <xf numFmtId="0" fontId="24" fillId="0" borderId="0" xfId="0" applyNumberFormat="1" applyFont="1" applyFill="1" applyAlignment="1">
      <alignment horizontal="right" vertical="center"/>
    </xf>
    <xf numFmtId="177" fontId="54" fillId="0" borderId="42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7" fontId="0" fillId="0" borderId="0" xfId="0" applyNumberFormat="1" applyFill="1" applyBorder="1">
      <alignment vertical="center"/>
    </xf>
    <xf numFmtId="184" fontId="24" fillId="0" borderId="0" xfId="0" applyNumberFormat="1" applyFont="1" applyFill="1" applyAlignment="1">
      <alignment horizontal="left" vertical="center"/>
    </xf>
    <xf numFmtId="184" fontId="54" fillId="0" borderId="42" xfId="0" applyNumberFormat="1" applyFont="1" applyFill="1" applyBorder="1" applyAlignment="1">
      <alignment horizontal="center" vertical="center"/>
    </xf>
    <xf numFmtId="184" fontId="0" fillId="0" borderId="0" xfId="0" applyNumberFormat="1" applyFill="1" applyBorder="1">
      <alignment vertical="center"/>
    </xf>
    <xf numFmtId="184" fontId="24" fillId="0" borderId="0" xfId="0" applyNumberFormat="1" applyFont="1" applyFill="1" applyAlignment="1">
      <alignment horizontal="right" vertical="center"/>
    </xf>
    <xf numFmtId="184" fontId="0" fillId="0" borderId="0" xfId="0" applyNumberFormat="1" applyAlignment="1">
      <alignment horizontal="right" vertical="center"/>
    </xf>
    <xf numFmtId="177" fontId="24" fillId="0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0" fontId="0" fillId="20" borderId="42" xfId="0" applyFill="1" applyBorder="1">
      <alignment vertical="center"/>
    </xf>
    <xf numFmtId="0" fontId="3" fillId="0" borderId="0" xfId="0" applyFont="1">
      <alignment vertical="center"/>
    </xf>
    <xf numFmtId="0" fontId="53" fillId="0" borderId="0" xfId="0" applyFont="1">
      <alignment vertical="center"/>
    </xf>
    <xf numFmtId="0" fontId="44" fillId="0" borderId="0" xfId="0" applyFont="1" applyProtection="1">
      <alignment vertical="center"/>
    </xf>
    <xf numFmtId="186" fontId="0" fillId="0" borderId="52" xfId="0" applyNumberFormat="1" applyBorder="1" applyProtection="1">
      <alignment vertical="center"/>
      <protection locked="0"/>
    </xf>
    <xf numFmtId="0" fontId="0" fillId="15" borderId="52" xfId="0" applyFill="1" applyBorder="1" applyProtection="1">
      <alignment vertical="center"/>
    </xf>
    <xf numFmtId="0" fontId="0" fillId="0" borderId="41" xfId="0" applyFill="1" applyBorder="1" applyProtection="1">
      <alignment vertical="center"/>
    </xf>
    <xf numFmtId="0" fontId="43" fillId="0" borderId="41" xfId="0" applyFont="1" applyFill="1" applyBorder="1" applyProtection="1">
      <alignment vertical="center"/>
    </xf>
    <xf numFmtId="0" fontId="0" fillId="0" borderId="0" xfId="0" applyFill="1" applyProtection="1">
      <alignment vertical="center"/>
    </xf>
    <xf numFmtId="0" fontId="0" fillId="10" borderId="0" xfId="0" applyFill="1" applyBorder="1" applyProtection="1">
      <alignment vertical="center"/>
      <protection locked="0"/>
    </xf>
    <xf numFmtId="0" fontId="0" fillId="6" borderId="0" xfId="0" applyFill="1" applyProtection="1">
      <alignment vertical="center"/>
      <protection locked="0"/>
    </xf>
    <xf numFmtId="0" fontId="0" fillId="12" borderId="0" xfId="0" applyFill="1" applyProtection="1">
      <alignment vertical="center"/>
      <protection locked="0"/>
    </xf>
    <xf numFmtId="0" fontId="0" fillId="16" borderId="0" xfId="0" applyFill="1" applyProtection="1">
      <alignment vertical="center"/>
      <protection locked="0"/>
    </xf>
    <xf numFmtId="0" fontId="0" fillId="19" borderId="0" xfId="0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0" fontId="0" fillId="18" borderId="0" xfId="0" applyFill="1" applyProtection="1">
      <alignment vertical="center"/>
      <protection locked="0"/>
    </xf>
    <xf numFmtId="0" fontId="0" fillId="8" borderId="0" xfId="0" applyFill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0" fillId="5" borderId="0" xfId="0" applyFill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3" borderId="0" xfId="0" applyFill="1" applyProtection="1">
      <alignment vertical="center"/>
      <protection locked="0"/>
    </xf>
    <xf numFmtId="0" fontId="0" fillId="9" borderId="0" xfId="0" applyFill="1" applyBorder="1" applyProtection="1">
      <alignment vertical="center"/>
      <protection locked="0"/>
    </xf>
    <xf numFmtId="49" fontId="43" fillId="10" borderId="53" xfId="0" applyNumberFormat="1" applyFont="1" applyFill="1" applyBorder="1" applyAlignment="1">
      <alignment horizontal="left" vertical="center"/>
    </xf>
    <xf numFmtId="0" fontId="43" fillId="10" borderId="53" xfId="0" applyFont="1" applyFill="1" applyBorder="1" applyAlignment="1">
      <alignment horizontal="left" vertical="top"/>
    </xf>
    <xf numFmtId="49" fontId="43" fillId="10" borderId="53" xfId="0" applyNumberFormat="1" applyFont="1" applyFill="1" applyBorder="1">
      <alignment vertical="center"/>
    </xf>
    <xf numFmtId="177" fontId="43" fillId="10" borderId="53" xfId="0" applyNumberFormat="1" applyFont="1" applyFill="1" applyBorder="1">
      <alignment vertical="center"/>
    </xf>
    <xf numFmtId="0" fontId="43" fillId="10" borderId="53" xfId="0" applyFont="1" applyFill="1" applyBorder="1">
      <alignment vertical="center"/>
    </xf>
    <xf numFmtId="49" fontId="43" fillId="0" borderId="53" xfId="0" applyNumberFormat="1" applyFont="1" applyBorder="1">
      <alignment vertical="center"/>
    </xf>
    <xf numFmtId="177" fontId="43" fillId="0" borderId="53" xfId="0" applyNumberFormat="1" applyFont="1" applyBorder="1">
      <alignment vertical="center"/>
    </xf>
    <xf numFmtId="49" fontId="43" fillId="6" borderId="53" xfId="0" applyNumberFormat="1" applyFont="1" applyFill="1" applyBorder="1" applyAlignment="1">
      <alignment horizontal="left" vertical="center"/>
    </xf>
    <xf numFmtId="0" fontId="43" fillId="6" borderId="53" xfId="0" applyFont="1" applyFill="1" applyBorder="1" applyAlignment="1">
      <alignment horizontal="left" vertical="top"/>
    </xf>
    <xf numFmtId="49" fontId="43" fillId="6" borderId="53" xfId="0" quotePrefix="1" applyNumberFormat="1" applyFont="1" applyFill="1" applyBorder="1">
      <alignment vertical="center"/>
    </xf>
    <xf numFmtId="49" fontId="43" fillId="10" borderId="53" xfId="0" quotePrefix="1" applyNumberFormat="1" applyFont="1" applyFill="1" applyBorder="1">
      <alignment vertical="center"/>
    </xf>
    <xf numFmtId="0" fontId="43" fillId="6" borderId="53" xfId="0" applyFont="1" applyFill="1" applyBorder="1">
      <alignment vertical="center"/>
    </xf>
    <xf numFmtId="49" fontId="43" fillId="6" borderId="53" xfId="0" applyNumberFormat="1" applyFont="1" applyFill="1" applyBorder="1">
      <alignment vertical="center"/>
    </xf>
    <xf numFmtId="49" fontId="56" fillId="14" borderId="50" xfId="0" applyNumberFormat="1" applyFont="1" applyFill="1" applyBorder="1" applyAlignment="1">
      <alignment horizontal="center" vertical="center" wrapText="1" shrinkToFit="1"/>
    </xf>
    <xf numFmtId="49" fontId="56" fillId="14" borderId="50" xfId="0" applyNumberFormat="1" applyFont="1" applyFill="1" applyBorder="1" applyAlignment="1">
      <alignment horizontal="center" vertical="center" wrapText="1"/>
    </xf>
    <xf numFmtId="184" fontId="56" fillId="14" borderId="50" xfId="0" applyNumberFormat="1" applyFont="1" applyFill="1" applyBorder="1" applyAlignment="1">
      <alignment horizontal="center" vertical="center" wrapText="1" shrinkToFit="1"/>
    </xf>
    <xf numFmtId="184" fontId="43" fillId="10" borderId="53" xfId="0" applyNumberFormat="1" applyFont="1" applyFill="1" applyBorder="1">
      <alignment vertical="center"/>
    </xf>
    <xf numFmtId="184" fontId="43" fillId="6" borderId="53" xfId="0" applyNumberFormat="1" applyFont="1" applyFill="1" applyBorder="1">
      <alignment vertical="center"/>
    </xf>
    <xf numFmtId="0" fontId="0" fillId="0" borderId="42" xfId="0" applyBorder="1">
      <alignment vertical="center"/>
    </xf>
    <xf numFmtId="0" fontId="56" fillId="14" borderId="53" xfId="0" applyFont="1" applyFill="1" applyBorder="1" applyAlignment="1">
      <alignment horizontal="center" vertical="center" wrapText="1" shrinkToFit="1"/>
    </xf>
    <xf numFmtId="49" fontId="56" fillId="14" borderId="53" xfId="0" applyNumberFormat="1" applyFont="1" applyFill="1" applyBorder="1" applyAlignment="1">
      <alignment horizontal="center" vertical="center" wrapText="1" shrinkToFit="1"/>
    </xf>
    <xf numFmtId="0" fontId="0" fillId="11" borderId="42" xfId="0" applyFill="1" applyBorder="1" applyAlignment="1">
      <alignment horizontal="center" vertical="center"/>
    </xf>
    <xf numFmtId="0" fontId="0" fillId="10" borderId="42" xfId="0" applyFill="1" applyBorder="1" applyAlignment="1">
      <alignment horizontal="center" vertical="center"/>
    </xf>
    <xf numFmtId="0" fontId="0" fillId="13" borderId="4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6" fillId="14" borderId="0" xfId="0" applyFont="1" applyFill="1" applyAlignment="1" applyProtection="1">
      <alignment horizontal="center" vertical="center"/>
    </xf>
    <xf numFmtId="0" fontId="57" fillId="0" borderId="0" xfId="0" applyFont="1" applyBorder="1" applyAlignment="1">
      <alignment horizontal="center" vertical="center"/>
    </xf>
    <xf numFmtId="177" fontId="58" fillId="0" borderId="0" xfId="0" applyNumberFormat="1" applyFont="1" applyFill="1">
      <alignment vertical="center"/>
    </xf>
    <xf numFmtId="0" fontId="55" fillId="0" borderId="0" xfId="0" applyFont="1" applyFill="1" applyAlignment="1">
      <alignment horizontal="left" vertical="center"/>
    </xf>
    <xf numFmtId="0" fontId="59" fillId="0" borderId="42" xfId="0" applyFont="1" applyBorder="1" applyAlignment="1">
      <alignment horizontal="center" vertical="center"/>
    </xf>
    <xf numFmtId="0" fontId="54" fillId="0" borderId="42" xfId="0" applyFont="1" applyBorder="1" applyAlignment="1">
      <alignment horizontal="center" vertical="center" wrapText="1"/>
    </xf>
    <xf numFmtId="14" fontId="54" fillId="0" borderId="42" xfId="0" applyNumberFormat="1" applyFont="1" applyBorder="1" applyAlignment="1">
      <alignment horizontal="center" vertical="center" wrapText="1"/>
    </xf>
    <xf numFmtId="184" fontId="54" fillId="0" borderId="42" xfId="0" applyNumberFormat="1" applyFont="1" applyBorder="1" applyAlignment="1">
      <alignment horizontal="center" vertical="center" wrapText="1"/>
    </xf>
    <xf numFmtId="0" fontId="58" fillId="0" borderId="0" xfId="0" applyNumberFormat="1" applyFont="1" applyFill="1" applyAlignment="1">
      <alignment horizontal="left" vertical="center"/>
    </xf>
    <xf numFmtId="0" fontId="60" fillId="0" borderId="0" xfId="0" applyNumberFormat="1" applyFont="1" applyFill="1" applyAlignment="1">
      <alignment horizontal="left" vertical="center"/>
    </xf>
    <xf numFmtId="0" fontId="15" fillId="0" borderId="0" xfId="1" applyFont="1" applyFill="1" applyAlignment="1">
      <alignment vertical="center"/>
    </xf>
    <xf numFmtId="0" fontId="15" fillId="0" borderId="0" xfId="6" applyFont="1" applyAlignment="1" applyProtection="1">
      <alignment vertical="center"/>
      <protection locked="0"/>
    </xf>
    <xf numFmtId="0" fontId="15" fillId="0" borderId="0" xfId="6" applyFont="1" applyAlignment="1">
      <alignment horizontal="right" vertical="center"/>
    </xf>
    <xf numFmtId="0" fontId="15" fillId="0" borderId="0" xfId="1" applyFont="1" applyFill="1" applyAlignment="1">
      <alignment horizontal="right" vertical="center"/>
    </xf>
    <xf numFmtId="14" fontId="0" fillId="0" borderId="0" xfId="0" applyNumberFormat="1" applyFill="1" applyBorder="1">
      <alignment vertical="center"/>
    </xf>
    <xf numFmtId="0" fontId="0" fillId="21" borderId="42" xfId="0" applyFill="1" applyBorder="1">
      <alignment vertical="center"/>
    </xf>
    <xf numFmtId="14" fontId="0" fillId="21" borderId="42" xfId="0" applyNumberFormat="1" applyFill="1" applyBorder="1">
      <alignment vertical="center"/>
    </xf>
    <xf numFmtId="0" fontId="62" fillId="0" borderId="0" xfId="0" applyFont="1">
      <alignment vertical="center"/>
    </xf>
    <xf numFmtId="0" fontId="63" fillId="0" borderId="0" xfId="0" applyFont="1">
      <alignment vertical="center"/>
    </xf>
    <xf numFmtId="0" fontId="64" fillId="0" borderId="0" xfId="0" applyFont="1">
      <alignment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179" fontId="4" fillId="0" borderId="16" xfId="8" applyNumberFormat="1" applyFont="1" applyBorder="1" applyAlignment="1">
      <alignment horizontal="right" vertical="center"/>
    </xf>
    <xf numFmtId="179" fontId="4" fillId="0" borderId="17" xfId="8" applyNumberFormat="1" applyFont="1" applyBorder="1" applyAlignment="1">
      <alignment horizontal="right" vertical="center"/>
    </xf>
    <xf numFmtId="0" fontId="0" fillId="0" borderId="32" xfId="0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7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79" fontId="14" fillId="0" borderId="18" xfId="8" applyNumberFormat="1" applyFont="1" applyBorder="1" applyAlignment="1">
      <alignment horizontal="right" vertical="center"/>
    </xf>
    <xf numFmtId="179" fontId="14" fillId="0" borderId="22" xfId="8" applyNumberFormat="1" applyFont="1" applyBorder="1" applyAlignment="1">
      <alignment horizontal="right" vertical="center"/>
    </xf>
    <xf numFmtId="0" fontId="6" fillId="0" borderId="0" xfId="0" applyFont="1" applyAlignment="1">
      <alignment horizontal="center" vertical="center"/>
    </xf>
    <xf numFmtId="179" fontId="4" fillId="0" borderId="23" xfId="8" applyNumberFormat="1" applyFont="1" applyBorder="1" applyAlignment="1">
      <alignment horizontal="right" vertical="center"/>
    </xf>
    <xf numFmtId="179" fontId="4" fillId="0" borderId="35" xfId="8" applyNumberFormat="1" applyFont="1" applyBorder="1" applyAlignment="1">
      <alignment horizontal="right" vertical="center"/>
    </xf>
    <xf numFmtId="179" fontId="4" fillId="0" borderId="25" xfId="8" applyNumberFormat="1" applyFont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36" xfId="0" applyFont="1" applyBorder="1" applyAlignment="1" applyProtection="1">
      <alignment horizontal="center" vertical="center"/>
      <protection locked="0"/>
    </xf>
    <xf numFmtId="0" fontId="12" fillId="0" borderId="37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4" fillId="0" borderId="12" xfId="0" applyFont="1" applyBorder="1" applyAlignment="1">
      <alignment horizontal="left" vertical="center" shrinkToFit="1"/>
    </xf>
    <xf numFmtId="0" fontId="4" fillId="0" borderId="13" xfId="0" applyFont="1" applyBorder="1" applyAlignment="1">
      <alignment horizontal="left" vertical="center" shrinkToFit="1"/>
    </xf>
    <xf numFmtId="0" fontId="43" fillId="0" borderId="12" xfId="0" applyFont="1" applyBorder="1" applyAlignment="1">
      <alignment horizontal="left" vertical="center"/>
    </xf>
    <xf numFmtId="0" fontId="43" fillId="0" borderId="13" xfId="0" applyFont="1" applyBorder="1" applyAlignment="1">
      <alignment horizontal="left" vertical="center"/>
    </xf>
    <xf numFmtId="179" fontId="14" fillId="0" borderId="19" xfId="8" applyNumberFormat="1" applyFont="1" applyBorder="1" applyAlignment="1">
      <alignment horizontal="right" vertical="center"/>
    </xf>
    <xf numFmtId="0" fontId="12" fillId="0" borderId="2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0" xfId="0" applyFont="1" applyBorder="1" applyAlignment="1">
      <alignment horizontal="left" vertical="center"/>
    </xf>
    <xf numFmtId="0" fontId="12" fillId="0" borderId="21" xfId="0" applyFont="1" applyBorder="1" applyAlignment="1">
      <alignment horizontal="left" vertical="center"/>
    </xf>
    <xf numFmtId="0" fontId="12" fillId="0" borderId="19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4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shrinkToFit="1"/>
    </xf>
    <xf numFmtId="0" fontId="4" fillId="0" borderId="34" xfId="0" applyFont="1" applyBorder="1" applyAlignment="1">
      <alignment horizontal="left" vertical="center" shrinkToFit="1"/>
    </xf>
    <xf numFmtId="0" fontId="4" fillId="0" borderId="14" xfId="0" applyFont="1" applyBorder="1" applyAlignment="1">
      <alignment horizontal="left" vertical="center" shrinkToFit="1"/>
    </xf>
    <xf numFmtId="0" fontId="4" fillId="0" borderId="15" xfId="0" applyFont="1" applyBorder="1" applyAlignment="1">
      <alignment horizontal="left" vertical="center" shrinkToFit="1"/>
    </xf>
    <xf numFmtId="0" fontId="0" fillId="0" borderId="43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49" fontId="4" fillId="0" borderId="43" xfId="0" applyNumberFormat="1" applyFont="1" applyBorder="1" applyAlignment="1">
      <alignment horizontal="left" vertical="center" wrapText="1"/>
    </xf>
    <xf numFmtId="49" fontId="4" fillId="0" borderId="44" xfId="0" applyNumberFormat="1" applyFont="1" applyBorder="1" applyAlignment="1">
      <alignment horizontal="left" vertical="center" wrapText="1"/>
    </xf>
    <xf numFmtId="49" fontId="4" fillId="0" borderId="45" xfId="0" applyNumberFormat="1" applyFont="1" applyBorder="1" applyAlignment="1">
      <alignment horizontal="left" vertical="center" wrapText="1"/>
    </xf>
    <xf numFmtId="179" fontId="4" fillId="0" borderId="43" xfId="8" applyNumberFormat="1" applyFont="1" applyBorder="1" applyAlignment="1">
      <alignment horizontal="right" vertical="center"/>
    </xf>
    <xf numFmtId="179" fontId="4" fillId="0" borderId="45" xfId="8" applyNumberFormat="1" applyFont="1" applyBorder="1" applyAlignment="1">
      <alignment horizontal="right" vertical="center"/>
    </xf>
    <xf numFmtId="0" fontId="12" fillId="0" borderId="43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43" xfId="0" applyFont="1" applyBorder="1" applyAlignment="1">
      <alignment horizontal="left" vertical="center"/>
    </xf>
    <xf numFmtId="0" fontId="12" fillId="0" borderId="44" xfId="0" applyFont="1" applyBorder="1" applyAlignment="1">
      <alignment horizontal="left" vertical="center"/>
    </xf>
    <xf numFmtId="0" fontId="12" fillId="0" borderId="45" xfId="0" applyFont="1" applyBorder="1" applyAlignment="1">
      <alignment horizontal="left" vertical="center"/>
    </xf>
    <xf numFmtId="179" fontId="14" fillId="0" borderId="43" xfId="8" applyNumberFormat="1" applyFont="1" applyBorder="1" applyAlignment="1">
      <alignment horizontal="right" vertical="center"/>
    </xf>
    <xf numFmtId="179" fontId="14" fillId="0" borderId="45" xfId="8" applyNumberFormat="1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57" fillId="0" borderId="0" xfId="0" applyFont="1" applyBorder="1" applyAlignment="1">
      <alignment horizontal="center" vertical="center"/>
    </xf>
    <xf numFmtId="0" fontId="54" fillId="0" borderId="42" xfId="0" applyFont="1" applyFill="1" applyBorder="1" applyAlignment="1">
      <alignment horizontal="center" vertical="center"/>
    </xf>
    <xf numFmtId="0" fontId="54" fillId="0" borderId="42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4" fillId="0" borderId="0" xfId="1" applyFont="1" applyFill="1" applyAlignment="1">
      <alignment horizontal="center" vertical="center"/>
    </xf>
    <xf numFmtId="0" fontId="15" fillId="0" borderId="11" xfId="1" applyFont="1" applyFill="1" applyBorder="1" applyAlignment="1" applyProtection="1">
      <alignment horizontal="left" vertical="center"/>
      <protection locked="0"/>
    </xf>
    <xf numFmtId="183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24" fillId="0" borderId="0" xfId="6" applyFont="1" applyAlignment="1">
      <alignment horizontal="center" vertical="center"/>
    </xf>
    <xf numFmtId="182" fontId="15" fillId="0" borderId="11" xfId="6" applyNumberFormat="1" applyFont="1" applyFill="1" applyBorder="1" applyAlignment="1" applyProtection="1">
      <alignment horizontal="center" vertical="center"/>
      <protection locked="0"/>
    </xf>
    <xf numFmtId="0" fontId="56" fillId="14" borderId="0" xfId="0" applyFont="1" applyFill="1" applyAlignment="1" applyProtection="1">
      <alignment horizontal="center" vertical="center"/>
    </xf>
    <xf numFmtId="179" fontId="14" fillId="0" borderId="43" xfId="8" applyNumberFormat="1" applyFont="1" applyBorder="1" applyAlignment="1">
      <alignment horizontal="center" vertical="center"/>
    </xf>
    <xf numFmtId="179" fontId="14" fillId="0" borderId="45" xfId="8" applyNumberFormat="1" applyFont="1" applyBorder="1" applyAlignment="1">
      <alignment horizontal="center" vertical="center"/>
    </xf>
    <xf numFmtId="0" fontId="56" fillId="14" borderId="52" xfId="0" applyFont="1" applyFill="1" applyBorder="1" applyAlignment="1" applyProtection="1">
      <alignment horizontal="center" vertical="center"/>
    </xf>
  </cellXfs>
  <cellStyles count="9">
    <cellStyle name="常规" xfId="0" builtinId="0"/>
    <cellStyle name="常规 2" xfId="1" xr:uid="{00000000-0005-0000-0000-000001000000}"/>
    <cellStyle name="常规 2 2" xfId="2" xr:uid="{00000000-0005-0000-0000-000002000000}"/>
    <cellStyle name="常规 2 3" xfId="3" xr:uid="{00000000-0005-0000-0000-000003000000}"/>
    <cellStyle name="常规 2 4" xfId="4" xr:uid="{00000000-0005-0000-0000-000004000000}"/>
    <cellStyle name="常规 3" xfId="5" xr:uid="{00000000-0005-0000-0000-000005000000}"/>
    <cellStyle name="常规 5" xfId="6" xr:uid="{00000000-0005-0000-0000-000006000000}"/>
    <cellStyle name="超链接" xfId="7" builtinId="8"/>
    <cellStyle name="千位分隔[0]" xfId="8" builtinId="6"/>
  </cellStyles>
  <dxfs count="0"/>
  <tableStyles count="0" defaultTableStyle="TableStyleMedium2" defaultPivotStyle="PivotStyleLight16"/>
  <colors>
    <mruColors>
      <color rgb="FFFFFF66"/>
      <color rgb="FF339966"/>
      <color rgb="FFCCFFFF"/>
      <color rgb="FF99FF99"/>
      <color rgb="FFFFFFCC"/>
      <color rgb="FFE9FDF0"/>
      <color rgb="FFFFFFFF"/>
      <color rgb="FFE3F2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16" fmlaLink="$L$3" max="30000" page="10" val="0"/>
</file>

<file path=xl/ctrlProps/ctrlProp2.xml><?xml version="1.0" encoding="utf-8"?>
<formControlPr xmlns="http://schemas.microsoft.com/office/spreadsheetml/2009/9/main" objectType="Spin" dx="16" fmlaLink="$L$2" max="30000" min="1" page="10"/>
</file>

<file path=xl/ctrlProps/ctrlProp3.xml><?xml version="1.0" encoding="utf-8"?>
<formControlPr xmlns="http://schemas.microsoft.com/office/spreadsheetml/2009/9/main" objectType="Scroll" dx="16" fmlaLink="$M$1" max="493" min="1" page="8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0.png"/><Relationship Id="rId2" Type="http://schemas.openxmlformats.org/officeDocument/2006/relationships/image" Target="../media/image49.png"/><Relationship Id="rId1" Type="http://schemas.openxmlformats.org/officeDocument/2006/relationships/image" Target="../media/image48.png"/><Relationship Id="rId6" Type="http://schemas.openxmlformats.org/officeDocument/2006/relationships/image" Target="../media/image53.png"/><Relationship Id="rId5" Type="http://schemas.openxmlformats.org/officeDocument/2006/relationships/image" Target="../media/image52.png"/><Relationship Id="rId4" Type="http://schemas.openxmlformats.org/officeDocument/2006/relationships/image" Target="../media/image5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10</xdr:row>
      <xdr:rowOff>38100</xdr:rowOff>
    </xdr:from>
    <xdr:to>
      <xdr:col>3</xdr:col>
      <xdr:colOff>581025</xdr:colOff>
      <xdr:row>10</xdr:row>
      <xdr:rowOff>561975</xdr:rowOff>
    </xdr:to>
    <xdr:pic macro="[0]!MainAccount">
      <xdr:nvPicPr>
        <xdr:cNvPr id="45058" name="Picture 2">
          <a:extLst>
            <a:ext uri="{FF2B5EF4-FFF2-40B4-BE49-F238E27FC236}">
              <a16:creationId xmlns:a16="http://schemas.microsoft.com/office/drawing/2014/main" id="{00000000-0008-0000-0000-000002B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0225" y="298132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57150</xdr:colOff>
      <xdr:row>4</xdr:row>
      <xdr:rowOff>38100</xdr:rowOff>
    </xdr:from>
    <xdr:to>
      <xdr:col>3</xdr:col>
      <xdr:colOff>581025</xdr:colOff>
      <xdr:row>4</xdr:row>
      <xdr:rowOff>561975</xdr:rowOff>
    </xdr:to>
    <xdr:pic macro="[0]!MainVchInput">
      <xdr:nvPicPr>
        <xdr:cNvPr id="45059" name="Picture 3">
          <a:extLst>
            <a:ext uri="{FF2B5EF4-FFF2-40B4-BE49-F238E27FC236}">
              <a16:creationId xmlns:a16="http://schemas.microsoft.com/office/drawing/2014/main" id="{00000000-0008-0000-0000-000003B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00225" y="105727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66675</xdr:colOff>
      <xdr:row>4</xdr:row>
      <xdr:rowOff>38100</xdr:rowOff>
    </xdr:from>
    <xdr:to>
      <xdr:col>5</xdr:col>
      <xdr:colOff>590550</xdr:colOff>
      <xdr:row>4</xdr:row>
      <xdr:rowOff>561975</xdr:rowOff>
    </xdr:to>
    <xdr:pic macro="[0]!MainVchManager"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743200" y="105727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76200</xdr:colOff>
      <xdr:row>4</xdr:row>
      <xdr:rowOff>38100</xdr:rowOff>
    </xdr:from>
    <xdr:to>
      <xdr:col>7</xdr:col>
      <xdr:colOff>600075</xdr:colOff>
      <xdr:row>4</xdr:row>
      <xdr:rowOff>561975</xdr:rowOff>
    </xdr:to>
    <xdr:pic macro="[0]!MainEndVch">
      <xdr:nvPicPr>
        <xdr:cNvPr id="45060" name="Picture 4">
          <a:extLst>
            <a:ext uri="{FF2B5EF4-FFF2-40B4-BE49-F238E27FC236}">
              <a16:creationId xmlns:a16="http://schemas.microsoft.com/office/drawing/2014/main" id="{00000000-0008-0000-0000-000004B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686175" y="105727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76200</xdr:colOff>
      <xdr:row>4</xdr:row>
      <xdr:rowOff>38100</xdr:rowOff>
    </xdr:from>
    <xdr:to>
      <xdr:col>9</xdr:col>
      <xdr:colOff>600075</xdr:colOff>
      <xdr:row>4</xdr:row>
      <xdr:rowOff>561975</xdr:rowOff>
    </xdr:to>
    <xdr:pic macro="[0]!MainSettle">
      <xdr:nvPicPr>
        <xdr:cNvPr id="45061" name="Picture 5">
          <a:extLst>
            <a:ext uri="{FF2B5EF4-FFF2-40B4-BE49-F238E27FC236}">
              <a16:creationId xmlns:a16="http://schemas.microsoft.com/office/drawing/2014/main" id="{00000000-0008-0000-0000-000005B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19625" y="105727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66675</xdr:colOff>
      <xdr:row>7</xdr:row>
      <xdr:rowOff>38100</xdr:rowOff>
    </xdr:from>
    <xdr:to>
      <xdr:col>3</xdr:col>
      <xdr:colOff>590550</xdr:colOff>
      <xdr:row>7</xdr:row>
      <xdr:rowOff>561975</xdr:rowOff>
    </xdr:to>
    <xdr:pic macro="[0]!MainSubject"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1809750" y="201930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57150</xdr:colOff>
      <xdr:row>7</xdr:row>
      <xdr:rowOff>38100</xdr:rowOff>
    </xdr:from>
    <xdr:to>
      <xdr:col>5</xdr:col>
      <xdr:colOff>581025</xdr:colOff>
      <xdr:row>7</xdr:row>
      <xdr:rowOff>561975</xdr:rowOff>
    </xdr:to>
    <xdr:pic macro="[0]!MainLedger">
      <xdr:nvPicPr>
        <xdr:cNvPr id="6" name="Pictur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2733675" y="201930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66675</xdr:colOff>
      <xdr:row>7</xdr:row>
      <xdr:rowOff>38100</xdr:rowOff>
    </xdr:from>
    <xdr:to>
      <xdr:col>7</xdr:col>
      <xdr:colOff>590550</xdr:colOff>
      <xdr:row>7</xdr:row>
      <xdr:rowOff>561975</xdr:rowOff>
    </xdr:to>
    <xdr:pic macro="[0]!MainDetail">
      <xdr:nvPicPr>
        <xdr:cNvPr id="7" name="Picture 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3676650" y="201930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66675</xdr:colOff>
      <xdr:row>7</xdr:row>
      <xdr:rowOff>38100</xdr:rowOff>
    </xdr:from>
    <xdr:to>
      <xdr:col>9</xdr:col>
      <xdr:colOff>590550</xdr:colOff>
      <xdr:row>7</xdr:row>
      <xdr:rowOff>561975</xdr:rowOff>
    </xdr:to>
    <xdr:pic macro="[0]!MainBalance">
      <xdr:nvPicPr>
        <xdr:cNvPr id="8" name="Picture 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/>
        <a:srcRect/>
        <a:stretch>
          <a:fillRect/>
        </a:stretch>
      </xdr:blipFill>
      <xdr:spPr bwMode="auto">
        <a:xfrm>
          <a:off x="4610100" y="201930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11</xdr:col>
      <xdr:colOff>66675</xdr:colOff>
      <xdr:row>7</xdr:row>
      <xdr:rowOff>38100</xdr:rowOff>
    </xdr:from>
    <xdr:to>
      <xdr:col>11</xdr:col>
      <xdr:colOff>590550</xdr:colOff>
      <xdr:row>7</xdr:row>
      <xdr:rowOff>561975</xdr:rowOff>
    </xdr:to>
    <xdr:pic macro="[0]!MainProfit">
      <xdr:nvPicPr>
        <xdr:cNvPr id="9" name="Picture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/>
        <a:srcRect/>
        <a:stretch>
          <a:fillRect/>
        </a:stretch>
      </xdr:blipFill>
      <xdr:spPr bwMode="auto">
        <a:xfrm>
          <a:off x="5543550" y="201930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13</xdr:col>
      <xdr:colOff>76200</xdr:colOff>
      <xdr:row>7</xdr:row>
      <xdr:rowOff>47625</xdr:rowOff>
    </xdr:from>
    <xdr:to>
      <xdr:col>13</xdr:col>
      <xdr:colOff>600075</xdr:colOff>
      <xdr:row>7</xdr:row>
      <xdr:rowOff>571500</xdr:rowOff>
    </xdr:to>
    <xdr:pic macro="[0]!MainWait">
      <xdr:nvPicPr>
        <xdr:cNvPr id="45062" name="Picture 6">
          <a:extLst>
            <a:ext uri="{FF2B5EF4-FFF2-40B4-BE49-F238E27FC236}">
              <a16:creationId xmlns:a16="http://schemas.microsoft.com/office/drawing/2014/main" id="{00000000-0008-0000-0000-000006B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/>
        <a:stretch>
          <a:fillRect/>
        </a:stretch>
      </xdr:blipFill>
      <xdr:spPr bwMode="auto">
        <a:xfrm>
          <a:off x="6486525" y="202882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5</xdr:col>
      <xdr:colOff>57150</xdr:colOff>
      <xdr:row>10</xdr:row>
      <xdr:rowOff>38100</xdr:rowOff>
    </xdr:from>
    <xdr:to>
      <xdr:col>5</xdr:col>
      <xdr:colOff>581025</xdr:colOff>
      <xdr:row>10</xdr:row>
      <xdr:rowOff>561975</xdr:rowOff>
    </xdr:to>
    <xdr:pic macro="[0]!MainSetting">
      <xdr:nvPicPr>
        <xdr:cNvPr id="45063" name="Picture 7">
          <a:extLst>
            <a:ext uri="{FF2B5EF4-FFF2-40B4-BE49-F238E27FC236}">
              <a16:creationId xmlns:a16="http://schemas.microsoft.com/office/drawing/2014/main" id="{00000000-0008-0000-0000-000007B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/>
        <a:srcRect/>
        <a:stretch>
          <a:fillRect/>
        </a:stretch>
      </xdr:blipFill>
      <xdr:spPr bwMode="auto">
        <a:xfrm>
          <a:off x="2733675" y="298132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57150</xdr:colOff>
      <xdr:row>10</xdr:row>
      <xdr:rowOff>38100</xdr:rowOff>
    </xdr:from>
    <xdr:to>
      <xdr:col>7</xdr:col>
      <xdr:colOff>581025</xdr:colOff>
      <xdr:row>10</xdr:row>
      <xdr:rowOff>561975</xdr:rowOff>
    </xdr:to>
    <xdr:pic macro="[0]!MainColorSetting">
      <xdr:nvPicPr>
        <xdr:cNvPr id="45064" name="Picture 8">
          <a:extLst>
            <a:ext uri="{FF2B5EF4-FFF2-40B4-BE49-F238E27FC236}">
              <a16:creationId xmlns:a16="http://schemas.microsoft.com/office/drawing/2014/main" id="{00000000-0008-0000-0000-000008B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/>
        <a:srcRect/>
        <a:stretch>
          <a:fillRect/>
        </a:stretch>
      </xdr:blipFill>
      <xdr:spPr bwMode="auto">
        <a:xfrm>
          <a:off x="3667125" y="298132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66675</xdr:colOff>
      <xdr:row>10</xdr:row>
      <xdr:rowOff>38100</xdr:rowOff>
    </xdr:from>
    <xdr:to>
      <xdr:col>9</xdr:col>
      <xdr:colOff>590550</xdr:colOff>
      <xdr:row>10</xdr:row>
      <xdr:rowOff>561975</xdr:rowOff>
    </xdr:to>
    <xdr:pic macro="[0]!MainPrintSetting">
      <xdr:nvPicPr>
        <xdr:cNvPr id="45065" name="Picture 9">
          <a:extLst>
            <a:ext uri="{FF2B5EF4-FFF2-40B4-BE49-F238E27FC236}">
              <a16:creationId xmlns:a16="http://schemas.microsoft.com/office/drawing/2014/main" id="{00000000-0008-0000-0000-000009B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/>
        <a:srcRect/>
        <a:stretch>
          <a:fillRect/>
        </a:stretch>
      </xdr:blipFill>
      <xdr:spPr bwMode="auto">
        <a:xfrm>
          <a:off x="4610100" y="2981325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38100</xdr:colOff>
      <xdr:row>1</xdr:row>
      <xdr:rowOff>333375</xdr:rowOff>
    </xdr:from>
    <xdr:to>
      <xdr:col>21</xdr:col>
      <xdr:colOff>516255</xdr:colOff>
      <xdr:row>13</xdr:row>
      <xdr:rowOff>1905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9100" y="523875"/>
          <a:ext cx="3383280" cy="3383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</xdr:row>
          <xdr:rowOff>219075</xdr:rowOff>
        </xdr:from>
        <xdr:to>
          <xdr:col>14</xdr:col>
          <xdr:colOff>247650</xdr:colOff>
          <xdr:row>2</xdr:row>
          <xdr:rowOff>219075</xdr:rowOff>
        </xdr:to>
        <xdr:sp macro="" textlink="">
          <xdr:nvSpPr>
            <xdr:cNvPr id="2052" name="cmd_Sav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2</xdr:row>
          <xdr:rowOff>9525</xdr:rowOff>
        </xdr:from>
        <xdr:to>
          <xdr:col>12</xdr:col>
          <xdr:colOff>66675</xdr:colOff>
          <xdr:row>2</xdr:row>
          <xdr:rowOff>200025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</xdr:row>
          <xdr:rowOff>9525</xdr:rowOff>
        </xdr:from>
        <xdr:to>
          <xdr:col>12</xdr:col>
          <xdr:colOff>66675</xdr:colOff>
          <xdr:row>1</xdr:row>
          <xdr:rowOff>200025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</xdr:row>
          <xdr:rowOff>142875</xdr:rowOff>
        </xdr:from>
        <xdr:to>
          <xdr:col>14</xdr:col>
          <xdr:colOff>247650</xdr:colOff>
          <xdr:row>4</xdr:row>
          <xdr:rowOff>142875</xdr:rowOff>
        </xdr:to>
        <xdr:sp macro="" textlink="">
          <xdr:nvSpPr>
            <xdr:cNvPr id="2062" name="btn_Clear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152400</xdr:rowOff>
        </xdr:from>
        <xdr:to>
          <xdr:col>14</xdr:col>
          <xdr:colOff>247650</xdr:colOff>
          <xdr:row>1</xdr:row>
          <xdr:rowOff>66675</xdr:rowOff>
        </xdr:to>
        <xdr:sp macro="" textlink="">
          <xdr:nvSpPr>
            <xdr:cNvPr id="2063" name="btn_Add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9525</xdr:rowOff>
        </xdr:from>
        <xdr:to>
          <xdr:col>12</xdr:col>
          <xdr:colOff>161925</xdr:colOff>
          <xdr:row>12</xdr:row>
          <xdr:rowOff>238125</xdr:rowOff>
        </xdr:to>
        <xdr:sp macro="" textlink="">
          <xdr:nvSpPr>
            <xdr:cNvPr id="2072" name="Scroll Bar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2094" name="btn_back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2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0</xdr:row>
          <xdr:rowOff>152400</xdr:rowOff>
        </xdr:from>
        <xdr:to>
          <xdr:col>15</xdr:col>
          <xdr:colOff>581025</xdr:colOff>
          <xdr:row>1</xdr:row>
          <xdr:rowOff>66675</xdr:rowOff>
        </xdr:to>
        <xdr:sp macro="" textlink="">
          <xdr:nvSpPr>
            <xdr:cNvPr id="2095" name="cmd_print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0</xdr:rowOff>
        </xdr:from>
        <xdr:to>
          <xdr:col>3</xdr:col>
          <xdr:colOff>657225</xdr:colOff>
          <xdr:row>0</xdr:row>
          <xdr:rowOff>228600</xdr:rowOff>
        </xdr:to>
        <xdr:sp macro="" textlink="">
          <xdr:nvSpPr>
            <xdr:cNvPr id="56321" name="cmd_Pos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3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0</xdr:rowOff>
        </xdr:from>
        <xdr:to>
          <xdr:col>2</xdr:col>
          <xdr:colOff>428625</xdr:colOff>
          <xdr:row>0</xdr:row>
          <xdr:rowOff>228600</xdr:rowOff>
        </xdr:to>
        <xdr:sp macro="" textlink="">
          <xdr:nvSpPr>
            <xdr:cNvPr id="56323" name="cmd_Check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3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56326" name="cmd_Back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3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0</xdr:rowOff>
        </xdr:from>
        <xdr:to>
          <xdr:col>5</xdr:col>
          <xdr:colOff>209550</xdr:colOff>
          <xdr:row>0</xdr:row>
          <xdr:rowOff>228600</xdr:rowOff>
        </xdr:to>
        <xdr:sp macro="" textlink="">
          <xdr:nvSpPr>
            <xdr:cNvPr id="56327" name="cmd_setColor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3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0</xdr:rowOff>
        </xdr:from>
        <xdr:to>
          <xdr:col>7</xdr:col>
          <xdr:colOff>200025</xdr:colOff>
          <xdr:row>0</xdr:row>
          <xdr:rowOff>228600</xdr:rowOff>
        </xdr:to>
        <xdr:sp macro="" textlink="">
          <xdr:nvSpPr>
            <xdr:cNvPr id="56330" name="btn_Sort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3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</xdr:row>
          <xdr:rowOff>76200</xdr:rowOff>
        </xdr:from>
        <xdr:to>
          <xdr:col>10</xdr:col>
          <xdr:colOff>476250</xdr:colOff>
          <xdr:row>4</xdr:row>
          <xdr:rowOff>38100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12</xdr:col>
          <xdr:colOff>619125</xdr:colOff>
          <xdr:row>0</xdr:row>
          <xdr:rowOff>228600</xdr:rowOff>
        </xdr:to>
        <xdr:sp macro="" textlink="">
          <xdr:nvSpPr>
            <xdr:cNvPr id="70659" name="cmd_Back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5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638175</xdr:colOff>
          <xdr:row>0</xdr:row>
          <xdr:rowOff>0</xdr:rowOff>
        </xdr:from>
        <xdr:to>
          <xdr:col>14</xdr:col>
          <xdr:colOff>180975</xdr:colOff>
          <xdr:row>0</xdr:row>
          <xdr:rowOff>228600</xdr:rowOff>
        </xdr:to>
        <xdr:sp macro="" textlink="">
          <xdr:nvSpPr>
            <xdr:cNvPr id="70661" name="cmd_SetPrint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5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0</xdr:row>
          <xdr:rowOff>0</xdr:rowOff>
        </xdr:from>
        <xdr:to>
          <xdr:col>15</xdr:col>
          <xdr:colOff>152400</xdr:colOff>
          <xdr:row>0</xdr:row>
          <xdr:rowOff>228600</xdr:rowOff>
        </xdr:to>
        <xdr:sp macro="" textlink="">
          <xdr:nvSpPr>
            <xdr:cNvPr id="70663" name="cmd_Query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5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10</xdr:col>
          <xdr:colOff>95250</xdr:colOff>
          <xdr:row>0</xdr:row>
          <xdr:rowOff>228600</xdr:rowOff>
        </xdr:to>
        <xdr:sp macro="" textlink="">
          <xdr:nvSpPr>
            <xdr:cNvPr id="34818" name="cmd_Query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34819" name="btn_Back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0</xdr:row>
          <xdr:rowOff>0</xdr:rowOff>
        </xdr:from>
        <xdr:to>
          <xdr:col>12</xdr:col>
          <xdr:colOff>447675</xdr:colOff>
          <xdr:row>0</xdr:row>
          <xdr:rowOff>228600</xdr:rowOff>
        </xdr:to>
        <xdr:sp macro="" textlink="">
          <xdr:nvSpPr>
            <xdr:cNvPr id="31745" name="btn_QUery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31746" name="cmd_Back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8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0</xdr:rowOff>
        </xdr:from>
        <xdr:to>
          <xdr:col>12</xdr:col>
          <xdr:colOff>161925</xdr:colOff>
          <xdr:row>0</xdr:row>
          <xdr:rowOff>228600</xdr:rowOff>
        </xdr:to>
        <xdr:sp macro="" textlink="">
          <xdr:nvSpPr>
            <xdr:cNvPr id="20494" name="cmd_SetFilter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9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20495" name="cmd_Back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9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0</xdr:row>
          <xdr:rowOff>0</xdr:rowOff>
        </xdr:from>
        <xdr:to>
          <xdr:col>11</xdr:col>
          <xdr:colOff>581025</xdr:colOff>
          <xdr:row>1</xdr:row>
          <xdr:rowOff>133350</xdr:rowOff>
        </xdr:to>
        <xdr:sp macro="" textlink="">
          <xdr:nvSpPr>
            <xdr:cNvPr id="64513" name="cmd_Query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A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0</xdr:row>
          <xdr:rowOff>152400</xdr:rowOff>
        </xdr:from>
        <xdr:to>
          <xdr:col>13</xdr:col>
          <xdr:colOff>495300</xdr:colOff>
          <xdr:row>2</xdr:row>
          <xdr:rowOff>114300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A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0</xdr:rowOff>
        </xdr:from>
        <xdr:to>
          <xdr:col>10</xdr:col>
          <xdr:colOff>619125</xdr:colOff>
          <xdr:row>0</xdr:row>
          <xdr:rowOff>228600</xdr:rowOff>
        </xdr:to>
        <xdr:sp macro="" textlink="">
          <xdr:nvSpPr>
            <xdr:cNvPr id="25603" name="btn_SetReportPeriod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609600</xdr:colOff>
          <xdr:row>0</xdr:row>
          <xdr:rowOff>228600</xdr:rowOff>
        </xdr:to>
        <xdr:sp macro="" textlink="">
          <xdr:nvSpPr>
            <xdr:cNvPr id="25604" name="btn_Back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0</xdr:row>
          <xdr:rowOff>0</xdr:rowOff>
        </xdr:from>
        <xdr:to>
          <xdr:col>7</xdr:col>
          <xdr:colOff>438150</xdr:colOff>
          <xdr:row>0</xdr:row>
          <xdr:rowOff>228600</xdr:rowOff>
        </xdr:to>
        <xdr:sp macro="" textlink="">
          <xdr:nvSpPr>
            <xdr:cNvPr id="5122" name="btn_SetReportPeriod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0</xdr:row>
          <xdr:rowOff>0</xdr:rowOff>
        </xdr:from>
        <xdr:to>
          <xdr:col>8</xdr:col>
          <xdr:colOff>428625</xdr:colOff>
          <xdr:row>0</xdr:row>
          <xdr:rowOff>228600</xdr:rowOff>
        </xdr:to>
        <xdr:sp macro="" textlink="">
          <xdr:nvSpPr>
            <xdr:cNvPr id="5123" name="btn_Back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C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0</xdr:row>
          <xdr:rowOff>0</xdr:rowOff>
        </xdr:from>
        <xdr:to>
          <xdr:col>3</xdr:col>
          <xdr:colOff>1085850</xdr:colOff>
          <xdr:row>0</xdr:row>
          <xdr:rowOff>228600</xdr:rowOff>
        </xdr:to>
        <xdr:sp macro="" textlink="">
          <xdr:nvSpPr>
            <xdr:cNvPr id="37927" name="cmd_checkBalance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E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0</xdr:rowOff>
        </xdr:from>
        <xdr:to>
          <xdr:col>2</xdr:col>
          <xdr:colOff>828675</xdr:colOff>
          <xdr:row>0</xdr:row>
          <xdr:rowOff>228600</xdr:rowOff>
        </xdr:to>
        <xdr:sp macro="" textlink="">
          <xdr:nvSpPr>
            <xdr:cNvPr id="37928" name="cmd_addAccount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E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828675</xdr:colOff>
          <xdr:row>0</xdr:row>
          <xdr:rowOff>0</xdr:rowOff>
        </xdr:from>
        <xdr:to>
          <xdr:col>3</xdr:col>
          <xdr:colOff>323850</xdr:colOff>
          <xdr:row>0</xdr:row>
          <xdr:rowOff>228600</xdr:rowOff>
        </xdr:to>
        <xdr:sp macro="" textlink="">
          <xdr:nvSpPr>
            <xdr:cNvPr id="37929" name="cmd_setColor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E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37935" name="cmd_Back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E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54277" name="cmd_Back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F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81921" name="cmd_Back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10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8</xdr:row>
      <xdr:rowOff>0</xdr:rowOff>
    </xdr:from>
    <xdr:to>
      <xdr:col>3</xdr:col>
      <xdr:colOff>571500</xdr:colOff>
      <xdr:row>11</xdr:row>
      <xdr:rowOff>57150</xdr:rowOff>
    </xdr:to>
    <xdr:pic macro="[0]!MainLedger">
      <xdr:nvPicPr>
        <xdr:cNvPr id="2" name="Picture 2700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3525" y="1371600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142875</xdr:colOff>
      <xdr:row>9</xdr:row>
      <xdr:rowOff>57150</xdr:rowOff>
    </xdr:to>
    <xdr:pic macro="[0]!MainDetail">
      <xdr:nvPicPr>
        <xdr:cNvPr id="3" name="Picture 2698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028700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571500</xdr:colOff>
      <xdr:row>11</xdr:row>
      <xdr:rowOff>57150</xdr:rowOff>
    </xdr:to>
    <xdr:pic macro="[0]!MainDetail">
      <xdr:nvPicPr>
        <xdr:cNvPr id="4" name="Picture 2698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200275" y="1371600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571500</xdr:colOff>
      <xdr:row>14</xdr:row>
      <xdr:rowOff>57150</xdr:rowOff>
    </xdr:to>
    <xdr:pic macro="[0]!MainSubject">
      <xdr:nvPicPr>
        <xdr:cNvPr id="5" name="Picture 2701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200275" y="1885950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523875</xdr:colOff>
      <xdr:row>10</xdr:row>
      <xdr:rowOff>9525</xdr:rowOff>
    </xdr:to>
    <xdr:pic macro="[0]!MainLedger"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3714750" y="120015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523875</xdr:colOff>
      <xdr:row>9</xdr:row>
      <xdr:rowOff>9525</xdr:rowOff>
    </xdr:to>
    <xdr:pic macro="[0]!MainDetail">
      <xdr:nvPicPr>
        <xdr:cNvPr id="7" name="Picture 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4371975" y="1028700"/>
          <a:ext cx="523875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11</xdr:col>
      <xdr:colOff>104775</xdr:colOff>
      <xdr:row>3</xdr:row>
      <xdr:rowOff>47625</xdr:rowOff>
    </xdr:from>
    <xdr:to>
      <xdr:col>11</xdr:col>
      <xdr:colOff>676275</xdr:colOff>
      <xdr:row>6</xdr:row>
      <xdr:rowOff>104775</xdr:rowOff>
    </xdr:to>
    <xdr:pic macro="[0]!MainBalance">
      <xdr:nvPicPr>
        <xdr:cNvPr id="8" name="Picture 26959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7105650" y="561975"/>
          <a:ext cx="57150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4</xdr:row>
          <xdr:rowOff>123825</xdr:rowOff>
        </xdr:from>
        <xdr:to>
          <xdr:col>4</xdr:col>
          <xdr:colOff>428625</xdr:colOff>
          <xdr:row>6</xdr:row>
          <xdr:rowOff>85725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1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609600</xdr:colOff>
          <xdr:row>0</xdr:row>
          <xdr:rowOff>228600</xdr:rowOff>
        </xdr:to>
        <xdr:sp macro="" textlink="">
          <xdr:nvSpPr>
            <xdr:cNvPr id="71684" name="cmd_Back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2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1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1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22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2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.xml"/><Relationship Id="rId5" Type="http://schemas.openxmlformats.org/officeDocument/2006/relationships/image" Target="../media/image26.emf"/><Relationship Id="rId4" Type="http://schemas.openxmlformats.org/officeDocument/2006/relationships/control" Target="../activeX/activeX12.xml"/><Relationship Id="rId9" Type="http://schemas.openxmlformats.org/officeDocument/2006/relationships/image" Target="../media/image2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5" Type="http://schemas.openxmlformats.org/officeDocument/2006/relationships/image" Target="../media/image29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5" Type="http://schemas.openxmlformats.org/officeDocument/2006/relationships/image" Target="../media/image31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3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image" Target="../media/image36.emf"/><Relationship Id="rId5" Type="http://schemas.openxmlformats.org/officeDocument/2006/relationships/control" Target="../activeX/activeX22.xml"/><Relationship Id="rId4" Type="http://schemas.openxmlformats.org/officeDocument/2006/relationships/image" Target="../media/image35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5" Type="http://schemas.openxmlformats.org/officeDocument/2006/relationships/image" Target="../media/image37.emf"/><Relationship Id="rId4" Type="http://schemas.openxmlformats.org/officeDocument/2006/relationships/control" Target="../activeX/activeX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9.emf"/><Relationship Id="rId4" Type="http://schemas.openxmlformats.org/officeDocument/2006/relationships/control" Target="../activeX/activeX2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12" Type="http://schemas.openxmlformats.org/officeDocument/2006/relationships/comments" Target="../comments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43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3.xml"/><Relationship Id="rId5" Type="http://schemas.openxmlformats.org/officeDocument/2006/relationships/image" Target="../media/image45.emf"/><Relationship Id="rId4" Type="http://schemas.openxmlformats.org/officeDocument/2006/relationships/control" Target="../activeX/activeX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46.emf"/><Relationship Id="rId4" Type="http://schemas.openxmlformats.org/officeDocument/2006/relationships/control" Target="../activeX/activeX3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47.emf"/><Relationship Id="rId4" Type="http://schemas.openxmlformats.org/officeDocument/2006/relationships/control" Target="../activeX/activeX3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4.xml"/><Relationship Id="rId5" Type="http://schemas.openxmlformats.org/officeDocument/2006/relationships/image" Target="../media/image54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7"/>
  <sheetViews>
    <sheetView showGridLines="0" showZeros="0" tabSelected="1" workbookViewId="0">
      <pane ySplit="14" topLeftCell="A33" activePane="bottomLeft" state="frozen"/>
      <selection pane="bottomLeft" activeCell="Q1" sqref="Q1"/>
    </sheetView>
  </sheetViews>
  <sheetFormatPr defaultRowHeight="13.5" x14ac:dyDescent="0.15"/>
  <cols>
    <col min="1" max="1" width="10.625" customWidth="1"/>
    <col min="2" max="2" width="8.625" customWidth="1"/>
    <col min="3" max="3" width="3.625" customWidth="1"/>
    <col min="4" max="4" width="8.625" customWidth="1"/>
    <col min="5" max="5" width="3.625" customWidth="1"/>
    <col min="6" max="6" width="8.625" customWidth="1"/>
    <col min="7" max="7" width="3.625" customWidth="1"/>
    <col min="8" max="8" width="8.625" customWidth="1"/>
    <col min="9" max="9" width="3.625" customWidth="1"/>
    <col min="10" max="10" width="8.625" customWidth="1"/>
    <col min="11" max="11" width="3.625" customWidth="1"/>
    <col min="12" max="12" width="8.625" customWidth="1"/>
    <col min="13" max="13" width="3.625" customWidth="1"/>
    <col min="14" max="14" width="8.625" customWidth="1"/>
    <col min="15" max="15" width="3.625" customWidth="1"/>
    <col min="16" max="16" width="8.625" customWidth="1"/>
    <col min="17" max="21" width="7.625" customWidth="1"/>
  </cols>
  <sheetData>
    <row r="1" spans="1:21" ht="15" customHeight="1" x14ac:dyDescent="0.15">
      <c r="P1" s="45"/>
      <c r="Q1" s="236" t="s">
        <v>849</v>
      </c>
      <c r="R1" s="237"/>
      <c r="U1" s="238" t="s">
        <v>846</v>
      </c>
    </row>
    <row r="2" spans="1:21" ht="35.25" x14ac:dyDescent="0.15">
      <c r="A2" s="105"/>
      <c r="B2" s="31"/>
      <c r="C2" s="31"/>
      <c r="D2" s="110" t="s">
        <v>848</v>
      </c>
      <c r="E2" s="31"/>
      <c r="F2" s="84"/>
      <c r="G2" s="84"/>
      <c r="H2" s="84"/>
      <c r="I2" s="84"/>
      <c r="J2" s="84"/>
      <c r="P2" s="45"/>
    </row>
    <row r="3" spans="1:21" ht="15" customHeight="1" x14ac:dyDescent="0.15">
      <c r="A3" s="32"/>
      <c r="B3" s="33"/>
      <c r="C3" s="33"/>
      <c r="D3" s="34"/>
      <c r="E3" s="33"/>
      <c r="F3" s="33"/>
      <c r="G3" s="33"/>
      <c r="H3" s="33"/>
      <c r="L3" s="35" t="s">
        <v>847</v>
      </c>
    </row>
    <row r="4" spans="1:21" ht="15" customHeight="1" thickBot="1" x14ac:dyDescent="0.2">
      <c r="B4" s="11"/>
      <c r="C4" s="11"/>
      <c r="D4" s="11"/>
      <c r="L4" s="103" t="s">
        <v>841</v>
      </c>
    </row>
    <row r="5" spans="1:21" s="40" customFormat="1" ht="47.25" customHeight="1" thickBot="1" x14ac:dyDescent="0.2">
      <c r="A5" s="36"/>
      <c r="B5" s="111" t="s">
        <v>749</v>
      </c>
      <c r="C5" s="37"/>
      <c r="D5" s="113"/>
      <c r="E5" s="38"/>
      <c r="F5" s="112"/>
      <c r="G5" s="39"/>
      <c r="H5" s="112"/>
      <c r="I5" s="39"/>
      <c r="J5" s="112"/>
      <c r="K5" s="39"/>
      <c r="L5" s="39"/>
      <c r="M5" s="39"/>
      <c r="N5" s="39"/>
      <c r="O5" s="39"/>
      <c r="P5" s="39"/>
    </row>
    <row r="6" spans="1:21" s="12" customFormat="1" ht="14.1" customHeight="1" x14ac:dyDescent="0.15">
      <c r="A6" s="41"/>
      <c r="B6" s="42"/>
      <c r="C6" s="42"/>
      <c r="D6" s="81" t="s">
        <v>2</v>
      </c>
      <c r="E6" s="82"/>
      <c r="F6" s="83" t="s">
        <v>3</v>
      </c>
      <c r="G6" s="82"/>
      <c r="H6" s="83" t="s">
        <v>173</v>
      </c>
      <c r="I6" s="82"/>
      <c r="J6" s="81" t="s">
        <v>174</v>
      </c>
      <c r="K6" s="43"/>
      <c r="L6" s="44"/>
      <c r="M6" s="43"/>
      <c r="N6" s="43"/>
      <c r="O6" s="43"/>
      <c r="P6" s="43"/>
    </row>
    <row r="7" spans="1:21" ht="15" customHeight="1" thickBot="1" x14ac:dyDescent="0.2">
      <c r="A7" s="45"/>
      <c r="B7" s="46"/>
      <c r="C7" s="46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</row>
    <row r="8" spans="1:21" s="40" customFormat="1" ht="47.25" customHeight="1" thickBot="1" x14ac:dyDescent="0.2">
      <c r="A8" s="36"/>
      <c r="B8" s="111" t="s">
        <v>750</v>
      </c>
      <c r="C8" s="47"/>
      <c r="D8" s="112"/>
      <c r="E8" s="39"/>
      <c r="F8" s="112"/>
      <c r="G8" s="39"/>
      <c r="H8" s="112"/>
      <c r="I8" s="39"/>
      <c r="J8" s="112"/>
      <c r="K8" s="39"/>
      <c r="L8" s="112"/>
      <c r="M8" s="39"/>
      <c r="N8" s="112"/>
      <c r="O8" s="39"/>
      <c r="P8" s="39"/>
    </row>
    <row r="9" spans="1:21" s="12" customFormat="1" ht="14.1" customHeight="1" x14ac:dyDescent="0.15">
      <c r="A9" s="41"/>
      <c r="B9" s="43"/>
      <c r="C9" s="43"/>
      <c r="D9" s="83" t="s">
        <v>4</v>
      </c>
      <c r="E9" s="83"/>
      <c r="F9" s="83" t="s">
        <v>266</v>
      </c>
      <c r="G9" s="82"/>
      <c r="H9" s="83" t="s">
        <v>267</v>
      </c>
      <c r="I9" s="43"/>
      <c r="J9" s="83" t="s">
        <v>263</v>
      </c>
      <c r="K9" s="43"/>
      <c r="L9" s="83" t="s">
        <v>265</v>
      </c>
      <c r="M9" s="43"/>
      <c r="N9" s="83" t="s">
        <v>791</v>
      </c>
      <c r="O9" s="43"/>
      <c r="P9" s="43"/>
    </row>
    <row r="10" spans="1:21" ht="15" customHeight="1" thickBot="1" x14ac:dyDescent="0.2"/>
    <row r="11" spans="1:21" s="12" customFormat="1" ht="47.25" customHeight="1" thickBot="1" x14ac:dyDescent="0.2">
      <c r="A11" s="48"/>
      <c r="B11" s="111" t="s">
        <v>167</v>
      </c>
      <c r="C11" s="49"/>
      <c r="D11" s="112"/>
      <c r="E11" s="50"/>
      <c r="F11" s="112"/>
      <c r="G11" s="50"/>
      <c r="H11" s="112"/>
      <c r="I11" s="50"/>
      <c r="J11" s="112"/>
      <c r="K11" s="50"/>
      <c r="L11" s="50"/>
      <c r="M11" s="50"/>
      <c r="N11" s="50"/>
      <c r="O11" s="50"/>
      <c r="P11" s="50"/>
    </row>
    <row r="12" spans="1:21" ht="14.1" customHeight="1" x14ac:dyDescent="0.15">
      <c r="A12" s="41"/>
      <c r="B12" s="43"/>
      <c r="C12" s="43"/>
      <c r="D12" s="81" t="s">
        <v>1</v>
      </c>
      <c r="E12" s="83"/>
      <c r="F12" s="81" t="s">
        <v>264</v>
      </c>
      <c r="G12" s="82"/>
      <c r="H12" s="83" t="s">
        <v>792</v>
      </c>
      <c r="I12" s="43"/>
      <c r="J12" s="82" t="s">
        <v>793</v>
      </c>
      <c r="K12" s="43"/>
      <c r="L12" s="44"/>
      <c r="M12" s="43"/>
      <c r="N12" s="43"/>
      <c r="O12" s="43"/>
      <c r="P12" s="43"/>
    </row>
    <row r="13" spans="1:21" ht="15" customHeight="1" x14ac:dyDescent="0.15"/>
    <row r="14" spans="1:21" x14ac:dyDescent="0.15">
      <c r="A14" s="51"/>
      <c r="B14" s="52"/>
      <c r="C14" s="52"/>
      <c r="D14" s="52"/>
      <c r="E14" s="52"/>
    </row>
    <row r="15" spans="1:21" x14ac:dyDescent="0.15">
      <c r="B15" s="53"/>
      <c r="D15" s="45"/>
    </row>
    <row r="16" spans="1:21" x14ac:dyDescent="0.15">
      <c r="D16" s="45"/>
    </row>
    <row r="17" spans="10:10" x14ac:dyDescent="0.15">
      <c r="J17" s="51"/>
    </row>
  </sheetData>
  <sheetProtection algorithmName="SHA-512" hashValue="kImIelxpbPcFLePtmOvzGCdut+uczqc35dyvkFFPnTRJYifyD9bSkYycIPOJKXcVZU4jgWZlxQIhD8xTsGdC5A==" saltValue="lH57utiI70TJ5ykdNWtbGw==" spinCount="100000" sheet="1" objects="1" scenarios="1"/>
  <protectedRanges>
    <protectedRange sqref="D3" name="区域1"/>
  </protectedRanges>
  <phoneticPr fontId="2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5"/>
  <sheetViews>
    <sheetView workbookViewId="0">
      <pane ySplit="1" topLeftCell="A2" activePane="bottomLeft" state="frozen"/>
      <selection pane="bottomLeft" activeCell="C5" sqref="C5"/>
    </sheetView>
  </sheetViews>
  <sheetFormatPr defaultRowHeight="13.5" x14ac:dyDescent="0.15"/>
  <cols>
    <col min="1" max="1" width="16.125" style="1" bestFit="1" customWidth="1"/>
    <col min="2" max="2" width="16.125" style="2" bestFit="1" customWidth="1"/>
    <col min="3" max="3" width="22.375" customWidth="1"/>
    <col min="4" max="4" width="8.625" customWidth="1"/>
    <col min="5" max="5" width="9.625" customWidth="1"/>
    <col min="6" max="6" width="11" style="69" customWidth="1"/>
    <col min="7" max="12" width="9.75" bestFit="1" customWidth="1"/>
  </cols>
  <sheetData>
    <row r="1" spans="1:5" x14ac:dyDescent="0.15">
      <c r="A1" s="1" t="s">
        <v>678</v>
      </c>
      <c r="B1" s="2" t="s">
        <v>679</v>
      </c>
      <c r="C1" t="s">
        <v>680</v>
      </c>
    </row>
    <row r="2" spans="1:5" x14ac:dyDescent="0.15">
      <c r="A2" s="1" t="s">
        <v>681</v>
      </c>
      <c r="B2" s="87" t="s">
        <v>682</v>
      </c>
      <c r="C2">
        <v>1</v>
      </c>
    </row>
    <row r="3" spans="1:5" x14ac:dyDescent="0.15">
      <c r="B3" s="87"/>
      <c r="D3">
        <v>4</v>
      </c>
      <c r="E3">
        <v>4</v>
      </c>
    </row>
    <row r="4" spans="1:5" x14ac:dyDescent="0.15">
      <c r="B4" s="87"/>
      <c r="D4">
        <v>4</v>
      </c>
      <c r="E4">
        <v>5</v>
      </c>
    </row>
    <row r="5" spans="1:5" x14ac:dyDescent="0.15">
      <c r="B5" s="87"/>
      <c r="E5">
        <v>1001</v>
      </c>
    </row>
    <row r="6" spans="1:5" x14ac:dyDescent="0.15">
      <c r="B6" s="87"/>
    </row>
    <row r="7" spans="1:5" x14ac:dyDescent="0.15">
      <c r="B7" s="87"/>
    </row>
    <row r="8" spans="1:5" x14ac:dyDescent="0.15">
      <c r="B8" s="87"/>
    </row>
    <row r="9" spans="1:5" x14ac:dyDescent="0.15">
      <c r="B9" s="87"/>
    </row>
    <row r="10" spans="1:5" x14ac:dyDescent="0.15">
      <c r="B10" s="87"/>
    </row>
    <row r="11" spans="1:5" x14ac:dyDescent="0.15">
      <c r="B11" s="87"/>
    </row>
    <row r="12" spans="1:5" x14ac:dyDescent="0.15">
      <c r="B12" s="87"/>
    </row>
    <row r="13" spans="1:5" x14ac:dyDescent="0.15">
      <c r="B13" s="87"/>
    </row>
    <row r="14" spans="1:5" x14ac:dyDescent="0.15">
      <c r="B14" s="87"/>
    </row>
    <row r="15" spans="1:5" x14ac:dyDescent="0.15">
      <c r="B15" s="87"/>
    </row>
  </sheetData>
  <sheetProtection formatCells="0" formatColumns="0" formatRows="0"/>
  <phoneticPr fontId="2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IQ510"/>
  <sheetViews>
    <sheetView showGridLines="0" workbookViewId="0">
      <pane xSplit="13" ySplit="5" topLeftCell="N6" activePane="bottomRight" state="frozen"/>
      <selection pane="topRight" activeCell="N1" sqref="N1"/>
      <selection pane="bottomLeft" activeCell="A6" sqref="A6"/>
      <selection pane="bottomRight" activeCell="F6" sqref="F6:H6"/>
    </sheetView>
  </sheetViews>
  <sheetFormatPr defaultRowHeight="13.5" x14ac:dyDescent="0.15"/>
  <cols>
    <col min="1" max="1" width="8.625" customWidth="1"/>
    <col min="2" max="2" width="3.625" customWidth="1"/>
    <col min="3" max="4" width="8.625" customWidth="1"/>
    <col min="5" max="5" width="10.625" customWidth="1"/>
    <col min="6" max="12" width="8.625" customWidth="1"/>
    <col min="13" max="13" width="2.625" customWidth="1"/>
    <col min="14" max="15" width="8.625" customWidth="1"/>
  </cols>
  <sheetData>
    <row r="1" spans="2:251" ht="24.95" customHeight="1" x14ac:dyDescent="0.15">
      <c r="C1" s="23"/>
      <c r="E1" s="259" t="s">
        <v>0</v>
      </c>
      <c r="F1" s="259"/>
      <c r="G1" s="259"/>
      <c r="H1" s="259"/>
      <c r="I1" s="259"/>
      <c r="J1" s="9"/>
      <c r="M1" s="27">
        <v>1</v>
      </c>
    </row>
    <row r="2" spans="2:251" ht="18" customHeight="1" thickBot="1" x14ac:dyDescent="0.2">
      <c r="E2" s="3"/>
      <c r="F2" s="258">
        <v>43466</v>
      </c>
      <c r="G2" s="258"/>
      <c r="H2" s="258"/>
      <c r="K2" s="117" t="s">
        <v>186</v>
      </c>
      <c r="L2" s="8">
        <v>1</v>
      </c>
      <c r="M2" s="28"/>
      <c r="IQ2" t="s">
        <v>8</v>
      </c>
    </row>
    <row r="3" spans="2:251" ht="18" customHeight="1" thickBot="1" x14ac:dyDescent="0.2">
      <c r="C3" s="114" t="s">
        <v>757</v>
      </c>
      <c r="D3" s="247" t="str">
        <f>单位名称</f>
        <v>浙江晴天服饰有限公司</v>
      </c>
      <c r="E3" s="247"/>
      <c r="F3" s="247"/>
      <c r="G3" s="247"/>
      <c r="H3" s="247"/>
      <c r="K3" s="109"/>
      <c r="L3" s="4">
        <v>0</v>
      </c>
      <c r="M3" s="28"/>
    </row>
    <row r="4" spans="2:251" ht="18" customHeight="1" x14ac:dyDescent="0.15">
      <c r="B4" s="239" t="s">
        <v>754</v>
      </c>
      <c r="C4" s="240"/>
      <c r="D4" s="241"/>
      <c r="E4" s="239" t="s">
        <v>753</v>
      </c>
      <c r="F4" s="240"/>
      <c r="G4" s="240"/>
      <c r="H4" s="241"/>
      <c r="I4" s="239" t="s">
        <v>755</v>
      </c>
      <c r="J4" s="241"/>
      <c r="K4" s="239" t="s">
        <v>756</v>
      </c>
      <c r="L4" s="241"/>
      <c r="M4" s="260"/>
      <c r="N4" s="254"/>
      <c r="O4" s="251"/>
    </row>
    <row r="5" spans="2:251" ht="18" customHeight="1" thickBot="1" x14ac:dyDescent="0.2">
      <c r="B5" s="242"/>
      <c r="C5" s="243"/>
      <c r="D5" s="244"/>
      <c r="E5" s="242"/>
      <c r="F5" s="243"/>
      <c r="G5" s="243"/>
      <c r="H5" s="244"/>
      <c r="I5" s="242"/>
      <c r="J5" s="244"/>
      <c r="K5" s="261"/>
      <c r="L5" s="262"/>
      <c r="M5" s="260"/>
      <c r="N5" s="254"/>
      <c r="O5" s="251"/>
    </row>
    <row r="6" spans="2:251" ht="20.100000000000001" customHeight="1" x14ac:dyDescent="0.15">
      <c r="B6" s="6">
        <v>1</v>
      </c>
      <c r="C6" s="277"/>
      <c r="D6" s="278"/>
      <c r="E6" s="24"/>
      <c r="F6" s="274"/>
      <c r="G6" s="275"/>
      <c r="H6" s="276"/>
      <c r="I6" s="255"/>
      <c r="J6" s="257"/>
      <c r="K6" s="255"/>
      <c r="L6" s="256"/>
      <c r="M6" s="29"/>
    </row>
    <row r="7" spans="2:251" ht="20.100000000000001" customHeight="1" x14ac:dyDescent="0.15">
      <c r="B7" s="5">
        <v>2</v>
      </c>
      <c r="C7" s="263"/>
      <c r="D7" s="264"/>
      <c r="E7" s="25"/>
      <c r="F7" s="248"/>
      <c r="G7" s="249"/>
      <c r="H7" s="250"/>
      <c r="I7" s="245"/>
      <c r="J7" s="246"/>
      <c r="K7" s="245"/>
      <c r="L7" s="246"/>
      <c r="M7" s="29"/>
    </row>
    <row r="8" spans="2:251" ht="20.100000000000001" customHeight="1" x14ac:dyDescent="0.15">
      <c r="B8" s="5">
        <v>3</v>
      </c>
      <c r="C8" s="265"/>
      <c r="D8" s="266"/>
      <c r="E8" s="25"/>
      <c r="F8" s="248"/>
      <c r="G8" s="249"/>
      <c r="H8" s="250"/>
      <c r="I8" s="245"/>
      <c r="J8" s="246"/>
      <c r="K8" s="245"/>
      <c r="L8" s="246"/>
      <c r="M8" s="29"/>
    </row>
    <row r="9" spans="2:251" ht="20.100000000000001" customHeight="1" x14ac:dyDescent="0.15">
      <c r="B9" s="5">
        <v>4</v>
      </c>
      <c r="C9" s="263"/>
      <c r="D9" s="264"/>
      <c r="E9" s="26"/>
      <c r="F9" s="248"/>
      <c r="G9" s="249"/>
      <c r="H9" s="250"/>
      <c r="I9" s="245"/>
      <c r="J9" s="246"/>
      <c r="K9" s="245"/>
      <c r="L9" s="246"/>
      <c r="M9" s="29"/>
    </row>
    <row r="10" spans="2:251" ht="20.100000000000001" customHeight="1" x14ac:dyDescent="0.15">
      <c r="B10" s="5">
        <v>5</v>
      </c>
      <c r="C10" s="263"/>
      <c r="D10" s="264"/>
      <c r="E10" s="25"/>
      <c r="F10" s="248"/>
      <c r="G10" s="249"/>
      <c r="H10" s="250"/>
      <c r="I10" s="245"/>
      <c r="J10" s="246"/>
      <c r="K10" s="245"/>
      <c r="L10" s="246"/>
      <c r="M10" s="29"/>
    </row>
    <row r="11" spans="2:251" ht="20.100000000000001" customHeight="1" x14ac:dyDescent="0.15">
      <c r="B11" s="5">
        <v>6</v>
      </c>
      <c r="C11" s="263"/>
      <c r="D11" s="264"/>
      <c r="E11" s="25"/>
      <c r="F11" s="248"/>
      <c r="G11" s="249"/>
      <c r="H11" s="250"/>
      <c r="I11" s="245"/>
      <c r="J11" s="246"/>
      <c r="K11" s="245"/>
      <c r="L11" s="246"/>
      <c r="M11" s="29"/>
    </row>
    <row r="12" spans="2:251" ht="20.100000000000001" customHeight="1" x14ac:dyDescent="0.15">
      <c r="B12" s="5">
        <v>7</v>
      </c>
      <c r="C12" s="263"/>
      <c r="D12" s="264"/>
      <c r="E12" s="25"/>
      <c r="F12" s="248"/>
      <c r="G12" s="249"/>
      <c r="H12" s="250"/>
      <c r="I12" s="245"/>
      <c r="J12" s="246"/>
      <c r="K12" s="245"/>
      <c r="L12" s="246"/>
      <c r="M12" s="29"/>
    </row>
    <row r="13" spans="2:251" ht="20.100000000000001" customHeight="1" thickBot="1" x14ac:dyDescent="0.2">
      <c r="B13" s="5">
        <v>8</v>
      </c>
      <c r="C13" s="263"/>
      <c r="D13" s="264"/>
      <c r="E13" s="25"/>
      <c r="F13" s="248"/>
      <c r="G13" s="249"/>
      <c r="H13" s="250"/>
      <c r="I13" s="245"/>
      <c r="J13" s="246"/>
      <c r="K13" s="245"/>
      <c r="L13" s="246"/>
      <c r="M13" s="29"/>
    </row>
    <row r="14" spans="2:251" ht="20.100000000000001" hidden="1" customHeight="1" x14ac:dyDescent="0.15">
      <c r="B14" s="5">
        <v>9</v>
      </c>
      <c r="C14" s="263"/>
      <c r="D14" s="264"/>
      <c r="E14" s="7"/>
      <c r="F14" s="248"/>
      <c r="G14" s="249"/>
      <c r="H14" s="250"/>
      <c r="I14" s="245"/>
      <c r="J14" s="246"/>
      <c r="K14" s="245"/>
      <c r="L14" s="246"/>
      <c r="M14" s="29"/>
    </row>
    <row r="15" spans="2:251" ht="20.100000000000001" hidden="1" customHeight="1" thickBot="1" x14ac:dyDescent="0.2">
      <c r="B15" s="5">
        <v>10</v>
      </c>
      <c r="C15" s="263"/>
      <c r="D15" s="264"/>
      <c r="E15" s="7"/>
      <c r="F15" s="248"/>
      <c r="G15" s="249"/>
      <c r="H15" s="250"/>
      <c r="I15" s="245"/>
      <c r="J15" s="246"/>
      <c r="K15" s="245"/>
      <c r="L15" s="246"/>
      <c r="M15" s="29"/>
    </row>
    <row r="16" spans="2:251" ht="20.100000000000001" hidden="1" customHeight="1" thickBot="1" x14ac:dyDescent="0.2">
      <c r="B16" s="5">
        <v>11</v>
      </c>
      <c r="C16" s="263"/>
      <c r="D16" s="264"/>
      <c r="E16" s="7"/>
      <c r="F16" s="248"/>
      <c r="G16" s="249"/>
      <c r="H16" s="250"/>
      <c r="I16" s="245"/>
      <c r="J16" s="246"/>
      <c r="K16" s="245"/>
      <c r="L16" s="246"/>
      <c r="M16" s="29"/>
    </row>
    <row r="17" spans="2:13" ht="20.100000000000001" hidden="1" customHeight="1" thickBot="1" x14ac:dyDescent="0.2">
      <c r="B17" s="5">
        <v>12</v>
      </c>
      <c r="C17" s="263"/>
      <c r="D17" s="264"/>
      <c r="E17" s="7"/>
      <c r="F17" s="248"/>
      <c r="G17" s="249"/>
      <c r="H17" s="250"/>
      <c r="I17" s="245"/>
      <c r="J17" s="246"/>
      <c r="K17" s="245"/>
      <c r="L17" s="246"/>
      <c r="M17" s="29"/>
    </row>
    <row r="18" spans="2:13" ht="20.100000000000001" hidden="1" customHeight="1" thickBot="1" x14ac:dyDescent="0.2">
      <c r="B18" s="5">
        <v>13</v>
      </c>
      <c r="C18" s="263"/>
      <c r="D18" s="264"/>
      <c r="E18" s="7"/>
      <c r="F18" s="248"/>
      <c r="G18" s="249"/>
      <c r="H18" s="250"/>
      <c r="I18" s="245"/>
      <c r="J18" s="246"/>
      <c r="K18" s="245"/>
      <c r="L18" s="246"/>
      <c r="M18" s="29"/>
    </row>
    <row r="19" spans="2:13" ht="20.100000000000001" hidden="1" customHeight="1" thickBot="1" x14ac:dyDescent="0.2">
      <c r="B19" s="5">
        <v>14</v>
      </c>
      <c r="C19" s="263"/>
      <c r="D19" s="264"/>
      <c r="E19" s="7"/>
      <c r="F19" s="248"/>
      <c r="G19" s="249"/>
      <c r="H19" s="250"/>
      <c r="I19" s="245"/>
      <c r="J19" s="246"/>
      <c r="K19" s="245"/>
      <c r="L19" s="246"/>
      <c r="M19" s="29"/>
    </row>
    <row r="20" spans="2:13" ht="20.100000000000001" hidden="1" customHeight="1" x14ac:dyDescent="0.15">
      <c r="B20" s="5">
        <v>15</v>
      </c>
      <c r="C20" s="263"/>
      <c r="D20" s="264"/>
      <c r="E20" s="7"/>
      <c r="F20" s="248"/>
      <c r="G20" s="249"/>
      <c r="H20" s="250"/>
      <c r="I20" s="245"/>
      <c r="J20" s="246"/>
      <c r="K20" s="245"/>
      <c r="L20" s="246"/>
      <c r="M20" s="29"/>
    </row>
    <row r="21" spans="2:13" ht="20.100000000000001" hidden="1" customHeight="1" x14ac:dyDescent="0.15">
      <c r="B21" s="5">
        <v>16</v>
      </c>
      <c r="C21" s="263"/>
      <c r="D21" s="264"/>
      <c r="E21" s="7"/>
      <c r="F21" s="248"/>
      <c r="G21" s="249"/>
      <c r="H21" s="250"/>
      <c r="I21" s="245"/>
      <c r="J21" s="246"/>
      <c r="K21" s="245"/>
      <c r="L21" s="246"/>
      <c r="M21" s="29"/>
    </row>
    <row r="22" spans="2:13" ht="20.100000000000001" hidden="1" customHeight="1" thickBot="1" x14ac:dyDescent="0.2">
      <c r="B22" s="5">
        <v>17</v>
      </c>
      <c r="C22" s="263"/>
      <c r="D22" s="264"/>
      <c r="E22" s="7"/>
      <c r="F22" s="248"/>
      <c r="G22" s="249"/>
      <c r="H22" s="250"/>
      <c r="I22" s="245"/>
      <c r="J22" s="246"/>
      <c r="K22" s="245"/>
      <c r="L22" s="246"/>
      <c r="M22" s="29"/>
    </row>
    <row r="23" spans="2:13" ht="20.100000000000001" hidden="1" customHeight="1" thickBot="1" x14ac:dyDescent="0.2">
      <c r="B23" s="5">
        <v>18</v>
      </c>
      <c r="C23" s="263"/>
      <c r="D23" s="264"/>
      <c r="E23" s="7"/>
      <c r="F23" s="248"/>
      <c r="G23" s="249"/>
      <c r="H23" s="250"/>
      <c r="I23" s="245"/>
      <c r="J23" s="246"/>
      <c r="K23" s="245"/>
      <c r="L23" s="246"/>
      <c r="M23" s="29"/>
    </row>
    <row r="24" spans="2:13" ht="20.100000000000001" hidden="1" customHeight="1" x14ac:dyDescent="0.15">
      <c r="B24" s="5">
        <v>19</v>
      </c>
      <c r="C24" s="263"/>
      <c r="D24" s="264"/>
      <c r="E24" s="7"/>
      <c r="F24" s="248"/>
      <c r="G24" s="249"/>
      <c r="H24" s="250"/>
      <c r="I24" s="245"/>
      <c r="J24" s="246"/>
      <c r="K24" s="245"/>
      <c r="L24" s="246"/>
      <c r="M24" s="29"/>
    </row>
    <row r="25" spans="2:13" ht="20.100000000000001" hidden="1" customHeight="1" thickBot="1" x14ac:dyDescent="0.2">
      <c r="B25" s="5">
        <v>20</v>
      </c>
      <c r="C25" s="263"/>
      <c r="D25" s="264"/>
      <c r="E25" s="7"/>
      <c r="F25" s="248"/>
      <c r="G25" s="249"/>
      <c r="H25" s="250"/>
      <c r="I25" s="245"/>
      <c r="J25" s="246"/>
      <c r="K25" s="245"/>
      <c r="L25" s="246"/>
      <c r="M25" s="29"/>
    </row>
    <row r="26" spans="2:13" ht="20.100000000000001" hidden="1" customHeight="1" thickBot="1" x14ac:dyDescent="0.2">
      <c r="B26" s="5">
        <v>21</v>
      </c>
      <c r="C26" s="263"/>
      <c r="D26" s="264"/>
      <c r="E26" s="7"/>
      <c r="F26" s="248"/>
      <c r="G26" s="249"/>
      <c r="H26" s="250"/>
      <c r="I26" s="245"/>
      <c r="J26" s="246"/>
      <c r="K26" s="245"/>
      <c r="L26" s="246"/>
      <c r="M26" s="29"/>
    </row>
    <row r="27" spans="2:13" ht="20.100000000000001" hidden="1" customHeight="1" thickBot="1" x14ac:dyDescent="0.2">
      <c r="B27" s="5">
        <v>22</v>
      </c>
      <c r="C27" s="263"/>
      <c r="D27" s="264"/>
      <c r="E27" s="7"/>
      <c r="F27" s="248"/>
      <c r="G27" s="249"/>
      <c r="H27" s="250"/>
      <c r="I27" s="245"/>
      <c r="J27" s="246"/>
      <c r="K27" s="245"/>
      <c r="L27" s="246"/>
      <c r="M27" s="29"/>
    </row>
    <row r="28" spans="2:13" ht="20.100000000000001" hidden="1" customHeight="1" thickBot="1" x14ac:dyDescent="0.2">
      <c r="B28" s="5">
        <v>23</v>
      </c>
      <c r="C28" s="263"/>
      <c r="D28" s="264"/>
      <c r="E28" s="7"/>
      <c r="F28" s="248"/>
      <c r="G28" s="249"/>
      <c r="H28" s="250"/>
      <c r="I28" s="245"/>
      <c r="J28" s="246"/>
      <c r="K28" s="245"/>
      <c r="L28" s="246"/>
      <c r="M28" s="29"/>
    </row>
    <row r="29" spans="2:13" ht="20.100000000000001" hidden="1" customHeight="1" x14ac:dyDescent="0.15">
      <c r="B29" s="5">
        <v>24</v>
      </c>
      <c r="C29" s="263"/>
      <c r="D29" s="264"/>
      <c r="E29" s="7"/>
      <c r="F29" s="248"/>
      <c r="G29" s="249"/>
      <c r="H29" s="250"/>
      <c r="I29" s="245"/>
      <c r="J29" s="246"/>
      <c r="K29" s="245"/>
      <c r="L29" s="246"/>
      <c r="M29" s="29"/>
    </row>
    <row r="30" spans="2:13" ht="20.100000000000001" hidden="1" customHeight="1" x14ac:dyDescent="0.15">
      <c r="B30" s="5">
        <v>25</v>
      </c>
      <c r="C30" s="263"/>
      <c r="D30" s="264"/>
      <c r="E30" s="7"/>
      <c r="F30" s="248"/>
      <c r="G30" s="249"/>
      <c r="H30" s="250"/>
      <c r="I30" s="245"/>
      <c r="J30" s="246"/>
      <c r="K30" s="245"/>
      <c r="L30" s="246"/>
      <c r="M30" s="29"/>
    </row>
    <row r="31" spans="2:13" ht="20.100000000000001" hidden="1" customHeight="1" x14ac:dyDescent="0.15">
      <c r="B31" s="5">
        <v>26</v>
      </c>
      <c r="C31" s="263"/>
      <c r="D31" s="264"/>
      <c r="E31" s="7"/>
      <c r="F31" s="248"/>
      <c r="G31" s="249"/>
      <c r="H31" s="250"/>
      <c r="I31" s="245"/>
      <c r="J31" s="246"/>
      <c r="K31" s="245"/>
      <c r="L31" s="246"/>
      <c r="M31" s="29"/>
    </row>
    <row r="32" spans="2:13" ht="20.100000000000001" hidden="1" customHeight="1" x14ac:dyDescent="0.15">
      <c r="B32" s="5">
        <v>27</v>
      </c>
      <c r="C32" s="263"/>
      <c r="D32" s="264"/>
      <c r="E32" s="7"/>
      <c r="F32" s="248"/>
      <c r="G32" s="249"/>
      <c r="H32" s="250"/>
      <c r="I32" s="245"/>
      <c r="J32" s="246"/>
      <c r="K32" s="245"/>
      <c r="L32" s="246"/>
      <c r="M32" s="29"/>
    </row>
    <row r="33" spans="2:13" ht="20.100000000000001" hidden="1" customHeight="1" x14ac:dyDescent="0.15">
      <c r="B33" s="5">
        <v>28</v>
      </c>
      <c r="C33" s="263"/>
      <c r="D33" s="264"/>
      <c r="E33" s="7"/>
      <c r="F33" s="248"/>
      <c r="G33" s="249"/>
      <c r="H33" s="250"/>
      <c r="I33" s="245"/>
      <c r="J33" s="246"/>
      <c r="K33" s="245"/>
      <c r="L33" s="246"/>
      <c r="M33" s="29"/>
    </row>
    <row r="34" spans="2:13" ht="20.100000000000001" hidden="1" customHeight="1" x14ac:dyDescent="0.15">
      <c r="B34" s="5">
        <v>29</v>
      </c>
      <c r="C34" s="263"/>
      <c r="D34" s="264"/>
      <c r="E34" s="7"/>
      <c r="F34" s="248"/>
      <c r="G34" s="249"/>
      <c r="H34" s="250"/>
      <c r="I34" s="245"/>
      <c r="J34" s="246"/>
      <c r="K34" s="245"/>
      <c r="L34" s="246"/>
      <c r="M34" s="29"/>
    </row>
    <row r="35" spans="2:13" ht="20.100000000000001" hidden="1" customHeight="1" x14ac:dyDescent="0.15">
      <c r="B35" s="5">
        <v>30</v>
      </c>
      <c r="C35" s="263"/>
      <c r="D35" s="264"/>
      <c r="E35" s="7"/>
      <c r="F35" s="248"/>
      <c r="G35" s="249"/>
      <c r="H35" s="250"/>
      <c r="I35" s="245"/>
      <c r="J35" s="246"/>
      <c r="K35" s="245"/>
      <c r="L35" s="246"/>
      <c r="M35" s="29"/>
    </row>
    <row r="36" spans="2:13" ht="20.100000000000001" hidden="1" customHeight="1" thickBot="1" x14ac:dyDescent="0.2">
      <c r="B36" s="5">
        <v>31</v>
      </c>
      <c r="C36" s="263"/>
      <c r="D36" s="264"/>
      <c r="E36" s="7"/>
      <c r="F36" s="248"/>
      <c r="G36" s="249"/>
      <c r="H36" s="250"/>
      <c r="I36" s="245"/>
      <c r="J36" s="246"/>
      <c r="K36" s="245"/>
      <c r="L36" s="246"/>
      <c r="M36" s="29"/>
    </row>
    <row r="37" spans="2:13" ht="20.100000000000001" hidden="1" customHeight="1" thickBot="1" x14ac:dyDescent="0.2">
      <c r="B37" s="5">
        <v>32</v>
      </c>
      <c r="C37" s="263"/>
      <c r="D37" s="264"/>
      <c r="E37" s="7"/>
      <c r="F37" s="248"/>
      <c r="G37" s="249"/>
      <c r="H37" s="250"/>
      <c r="I37" s="245"/>
      <c r="J37" s="246"/>
      <c r="K37" s="245"/>
      <c r="L37" s="246"/>
      <c r="M37" s="29"/>
    </row>
    <row r="38" spans="2:13" ht="20.100000000000001" hidden="1" customHeight="1" thickBot="1" x14ac:dyDescent="0.2">
      <c r="B38" s="5">
        <v>33</v>
      </c>
      <c r="C38" s="263"/>
      <c r="D38" s="264"/>
      <c r="E38" s="7"/>
      <c r="F38" s="248"/>
      <c r="G38" s="249"/>
      <c r="H38" s="250"/>
      <c r="I38" s="245"/>
      <c r="J38" s="246"/>
      <c r="K38" s="245"/>
      <c r="L38" s="246"/>
      <c r="M38" s="29"/>
    </row>
    <row r="39" spans="2:13" ht="20.100000000000001" hidden="1" customHeight="1" thickBot="1" x14ac:dyDescent="0.2">
      <c r="B39" s="5">
        <v>34</v>
      </c>
      <c r="C39" s="263"/>
      <c r="D39" s="264"/>
      <c r="E39" s="7"/>
      <c r="F39" s="248"/>
      <c r="G39" s="249"/>
      <c r="H39" s="250"/>
      <c r="I39" s="245"/>
      <c r="J39" s="246"/>
      <c r="K39" s="245"/>
      <c r="L39" s="246"/>
      <c r="M39" s="29"/>
    </row>
    <row r="40" spans="2:13" ht="20.100000000000001" hidden="1" customHeight="1" x14ac:dyDescent="0.15">
      <c r="B40" s="5">
        <v>35</v>
      </c>
      <c r="C40" s="263"/>
      <c r="D40" s="264"/>
      <c r="E40" s="7"/>
      <c r="F40" s="248"/>
      <c r="G40" s="249"/>
      <c r="H40" s="250"/>
      <c r="I40" s="245"/>
      <c r="J40" s="246"/>
      <c r="K40" s="245"/>
      <c r="L40" s="246"/>
      <c r="M40" s="29"/>
    </row>
    <row r="41" spans="2:13" ht="20.100000000000001" hidden="1" customHeight="1" x14ac:dyDescent="0.15">
      <c r="B41" s="5">
        <v>36</v>
      </c>
      <c r="C41" s="263"/>
      <c r="D41" s="264"/>
      <c r="E41" s="7"/>
      <c r="F41" s="248"/>
      <c r="G41" s="249"/>
      <c r="H41" s="250"/>
      <c r="I41" s="245"/>
      <c r="J41" s="246"/>
      <c r="K41" s="245"/>
      <c r="L41" s="246"/>
      <c r="M41" s="29"/>
    </row>
    <row r="42" spans="2:13" ht="20.100000000000001" hidden="1" customHeight="1" x14ac:dyDescent="0.15">
      <c r="B42" s="5">
        <v>37</v>
      </c>
      <c r="C42" s="263"/>
      <c r="D42" s="264"/>
      <c r="E42" s="7"/>
      <c r="F42" s="248"/>
      <c r="G42" s="249"/>
      <c r="H42" s="250"/>
      <c r="I42" s="245"/>
      <c r="J42" s="246"/>
      <c r="K42" s="245"/>
      <c r="L42" s="246"/>
      <c r="M42" s="29"/>
    </row>
    <row r="43" spans="2:13" ht="20.100000000000001" hidden="1" customHeight="1" x14ac:dyDescent="0.15">
      <c r="B43" s="5">
        <v>38</v>
      </c>
      <c r="C43" s="263"/>
      <c r="D43" s="264"/>
      <c r="E43" s="7"/>
      <c r="F43" s="248"/>
      <c r="G43" s="249"/>
      <c r="H43" s="250"/>
      <c r="I43" s="245"/>
      <c r="J43" s="246"/>
      <c r="K43" s="245"/>
      <c r="L43" s="246"/>
      <c r="M43" s="29"/>
    </row>
    <row r="44" spans="2:13" ht="20.100000000000001" hidden="1" customHeight="1" x14ac:dyDescent="0.15">
      <c r="B44" s="5">
        <v>39</v>
      </c>
      <c r="C44" s="263"/>
      <c r="D44" s="264"/>
      <c r="E44" s="7"/>
      <c r="F44" s="248"/>
      <c r="G44" s="249"/>
      <c r="H44" s="250"/>
      <c r="I44" s="245"/>
      <c r="J44" s="246"/>
      <c r="K44" s="245"/>
      <c r="L44" s="246"/>
      <c r="M44" s="29"/>
    </row>
    <row r="45" spans="2:13" ht="20.100000000000001" hidden="1" customHeight="1" x14ac:dyDescent="0.15">
      <c r="B45" s="5">
        <v>40</v>
      </c>
      <c r="C45" s="263"/>
      <c r="D45" s="264"/>
      <c r="E45" s="7"/>
      <c r="F45" s="248"/>
      <c r="G45" s="249"/>
      <c r="H45" s="250"/>
      <c r="I45" s="245"/>
      <c r="J45" s="246"/>
      <c r="K45" s="245"/>
      <c r="L45" s="246"/>
      <c r="M45" s="29"/>
    </row>
    <row r="46" spans="2:13" ht="20.100000000000001" hidden="1" customHeight="1" x14ac:dyDescent="0.15">
      <c r="B46" s="5">
        <v>41</v>
      </c>
      <c r="C46" s="263"/>
      <c r="D46" s="264"/>
      <c r="E46" s="7"/>
      <c r="F46" s="248"/>
      <c r="G46" s="249"/>
      <c r="H46" s="250"/>
      <c r="I46" s="245"/>
      <c r="J46" s="246"/>
      <c r="K46" s="245"/>
      <c r="L46" s="246"/>
      <c r="M46" s="29"/>
    </row>
    <row r="47" spans="2:13" ht="20.100000000000001" hidden="1" customHeight="1" thickBot="1" x14ac:dyDescent="0.2">
      <c r="B47" s="5">
        <v>42</v>
      </c>
      <c r="C47" s="263"/>
      <c r="D47" s="264"/>
      <c r="E47" s="7"/>
      <c r="F47" s="248"/>
      <c r="G47" s="249"/>
      <c r="H47" s="250"/>
      <c r="I47" s="245"/>
      <c r="J47" s="246"/>
      <c r="K47" s="245"/>
      <c r="L47" s="246"/>
      <c r="M47" s="29"/>
    </row>
    <row r="48" spans="2:13" ht="20.100000000000001" hidden="1" customHeight="1" x14ac:dyDescent="0.15">
      <c r="B48" s="5">
        <v>43</v>
      </c>
      <c r="C48" s="263"/>
      <c r="D48" s="264"/>
      <c r="E48" s="7"/>
      <c r="F48" s="248"/>
      <c r="G48" s="249"/>
      <c r="H48" s="250"/>
      <c r="I48" s="245"/>
      <c r="J48" s="246"/>
      <c r="K48" s="245"/>
      <c r="L48" s="246"/>
      <c r="M48" s="29"/>
    </row>
    <row r="49" spans="2:13" ht="20.100000000000001" hidden="1" customHeight="1" x14ac:dyDescent="0.15">
      <c r="B49" s="5">
        <v>44</v>
      </c>
      <c r="C49" s="263"/>
      <c r="D49" s="264"/>
      <c r="E49" s="7"/>
      <c r="F49" s="248"/>
      <c r="G49" s="249"/>
      <c r="H49" s="250"/>
      <c r="I49" s="245"/>
      <c r="J49" s="246"/>
      <c r="K49" s="245"/>
      <c r="L49" s="246"/>
      <c r="M49" s="29"/>
    </row>
    <row r="50" spans="2:13" ht="20.100000000000001" hidden="1" customHeight="1" x14ac:dyDescent="0.15">
      <c r="B50" s="5">
        <v>45</v>
      </c>
      <c r="C50" s="263"/>
      <c r="D50" s="264"/>
      <c r="E50" s="7"/>
      <c r="F50" s="248"/>
      <c r="G50" s="249"/>
      <c r="H50" s="250"/>
      <c r="I50" s="245"/>
      <c r="J50" s="246"/>
      <c r="K50" s="245"/>
      <c r="L50" s="246"/>
      <c r="M50" s="29"/>
    </row>
    <row r="51" spans="2:13" ht="20.100000000000001" hidden="1" customHeight="1" x14ac:dyDescent="0.15">
      <c r="B51" s="5">
        <v>46</v>
      </c>
      <c r="C51" s="263"/>
      <c r="D51" s="264"/>
      <c r="E51" s="7"/>
      <c r="F51" s="248"/>
      <c r="G51" s="249"/>
      <c r="H51" s="250"/>
      <c r="I51" s="245"/>
      <c r="J51" s="246"/>
      <c r="K51" s="245"/>
      <c r="L51" s="246"/>
      <c r="M51" s="29"/>
    </row>
    <row r="52" spans="2:13" ht="20.100000000000001" hidden="1" customHeight="1" thickBot="1" x14ac:dyDescent="0.2">
      <c r="B52" s="5">
        <v>47</v>
      </c>
      <c r="C52" s="263"/>
      <c r="D52" s="264"/>
      <c r="E52" s="7"/>
      <c r="F52" s="248"/>
      <c r="G52" s="249"/>
      <c r="H52" s="250"/>
      <c r="I52" s="245"/>
      <c r="J52" s="246"/>
      <c r="K52" s="245"/>
      <c r="L52" s="246"/>
      <c r="M52" s="29"/>
    </row>
    <row r="53" spans="2:13" ht="20.100000000000001" hidden="1" customHeight="1" thickBot="1" x14ac:dyDescent="0.2">
      <c r="B53" s="5">
        <v>48</v>
      </c>
      <c r="C53" s="263"/>
      <c r="D53" s="264"/>
      <c r="E53" s="7"/>
      <c r="F53" s="248"/>
      <c r="G53" s="249"/>
      <c r="H53" s="250"/>
      <c r="I53" s="245"/>
      <c r="J53" s="246"/>
      <c r="K53" s="245"/>
      <c r="L53" s="246"/>
      <c r="M53" s="29"/>
    </row>
    <row r="54" spans="2:13" ht="20.100000000000001" hidden="1" customHeight="1" x14ac:dyDescent="0.15">
      <c r="B54" s="5">
        <v>49</v>
      </c>
      <c r="C54" s="263"/>
      <c r="D54" s="264"/>
      <c r="E54" s="7"/>
      <c r="F54" s="248"/>
      <c r="G54" s="249"/>
      <c r="H54" s="250"/>
      <c r="I54" s="245"/>
      <c r="J54" s="246"/>
      <c r="K54" s="245"/>
      <c r="L54" s="246"/>
      <c r="M54" s="29"/>
    </row>
    <row r="55" spans="2:13" ht="20.100000000000001" hidden="1" customHeight="1" x14ac:dyDescent="0.15">
      <c r="B55" s="5">
        <v>50</v>
      </c>
      <c r="C55" s="263"/>
      <c r="D55" s="264"/>
      <c r="E55" s="7"/>
      <c r="F55" s="248"/>
      <c r="G55" s="249"/>
      <c r="H55" s="250"/>
      <c r="I55" s="245"/>
      <c r="J55" s="246"/>
      <c r="K55" s="245"/>
      <c r="L55" s="246"/>
      <c r="M55" s="29"/>
    </row>
    <row r="56" spans="2:13" ht="20.100000000000001" hidden="1" customHeight="1" x14ac:dyDescent="0.15">
      <c r="B56" s="5">
        <v>51</v>
      </c>
      <c r="C56" s="263"/>
      <c r="D56" s="264"/>
      <c r="E56" s="7"/>
      <c r="F56" s="248"/>
      <c r="G56" s="249"/>
      <c r="H56" s="250"/>
      <c r="I56" s="245"/>
      <c r="J56" s="246"/>
      <c r="K56" s="245"/>
      <c r="L56" s="246"/>
      <c r="M56" s="29"/>
    </row>
    <row r="57" spans="2:13" ht="20.100000000000001" hidden="1" customHeight="1" x14ac:dyDescent="0.15">
      <c r="B57" s="5">
        <v>52</v>
      </c>
      <c r="C57" s="263"/>
      <c r="D57" s="264"/>
      <c r="E57" s="7"/>
      <c r="F57" s="248"/>
      <c r="G57" s="249"/>
      <c r="H57" s="250"/>
      <c r="I57" s="245"/>
      <c r="J57" s="246"/>
      <c r="K57" s="245"/>
      <c r="L57" s="246"/>
      <c r="M57" s="29"/>
    </row>
    <row r="58" spans="2:13" ht="20.100000000000001" hidden="1" customHeight="1" x14ac:dyDescent="0.15">
      <c r="B58" s="5">
        <v>53</v>
      </c>
      <c r="C58" s="263"/>
      <c r="D58" s="264"/>
      <c r="E58" s="7"/>
      <c r="F58" s="248"/>
      <c r="G58" s="249"/>
      <c r="H58" s="250"/>
      <c r="I58" s="245"/>
      <c r="J58" s="246"/>
      <c r="K58" s="245"/>
      <c r="L58" s="246"/>
      <c r="M58" s="29"/>
    </row>
    <row r="59" spans="2:13" ht="20.100000000000001" hidden="1" customHeight="1" x14ac:dyDescent="0.15">
      <c r="B59" s="5">
        <v>54</v>
      </c>
      <c r="C59" s="263"/>
      <c r="D59" s="264"/>
      <c r="E59" s="7"/>
      <c r="F59" s="248"/>
      <c r="G59" s="249"/>
      <c r="H59" s="250"/>
      <c r="I59" s="245"/>
      <c r="J59" s="246"/>
      <c r="K59" s="245"/>
      <c r="L59" s="246"/>
      <c r="M59" s="29"/>
    </row>
    <row r="60" spans="2:13" ht="20.100000000000001" hidden="1" customHeight="1" x14ac:dyDescent="0.15">
      <c r="B60" s="5">
        <v>55</v>
      </c>
      <c r="C60" s="263"/>
      <c r="D60" s="264"/>
      <c r="E60" s="7"/>
      <c r="F60" s="248"/>
      <c r="G60" s="249"/>
      <c r="H60" s="250"/>
      <c r="I60" s="245"/>
      <c r="J60" s="246"/>
      <c r="K60" s="245"/>
      <c r="L60" s="246"/>
      <c r="M60" s="29"/>
    </row>
    <row r="61" spans="2:13" ht="20.100000000000001" hidden="1" customHeight="1" thickBot="1" x14ac:dyDescent="0.2">
      <c r="B61" s="5">
        <v>56</v>
      </c>
      <c r="C61" s="263"/>
      <c r="D61" s="264"/>
      <c r="E61" s="7"/>
      <c r="F61" s="248"/>
      <c r="G61" s="249"/>
      <c r="H61" s="250"/>
      <c r="I61" s="245"/>
      <c r="J61" s="246"/>
      <c r="K61" s="245"/>
      <c r="L61" s="246"/>
      <c r="M61" s="29"/>
    </row>
    <row r="62" spans="2:13" ht="20.100000000000001" hidden="1" customHeight="1" x14ac:dyDescent="0.15">
      <c r="B62" s="5">
        <v>57</v>
      </c>
      <c r="C62" s="263"/>
      <c r="D62" s="264"/>
      <c r="E62" s="7"/>
      <c r="F62" s="248"/>
      <c r="G62" s="249"/>
      <c r="H62" s="250"/>
      <c r="I62" s="245"/>
      <c r="J62" s="246"/>
      <c r="K62" s="245"/>
      <c r="L62" s="246"/>
      <c r="M62" s="29"/>
    </row>
    <row r="63" spans="2:13" ht="20.100000000000001" hidden="1" customHeight="1" x14ac:dyDescent="0.15">
      <c r="B63" s="5">
        <v>58</v>
      </c>
      <c r="C63" s="263"/>
      <c r="D63" s="264"/>
      <c r="E63" s="7"/>
      <c r="F63" s="248"/>
      <c r="G63" s="249"/>
      <c r="H63" s="250"/>
      <c r="I63" s="245"/>
      <c r="J63" s="246"/>
      <c r="K63" s="245"/>
      <c r="L63" s="246"/>
      <c r="M63" s="29"/>
    </row>
    <row r="64" spans="2:13" ht="20.100000000000001" hidden="1" customHeight="1" x14ac:dyDescent="0.15">
      <c r="B64" s="5">
        <v>59</v>
      </c>
      <c r="C64" s="263"/>
      <c r="D64" s="264"/>
      <c r="E64" s="7"/>
      <c r="F64" s="248"/>
      <c r="G64" s="249"/>
      <c r="H64" s="250"/>
      <c r="I64" s="245"/>
      <c r="J64" s="246"/>
      <c r="K64" s="245"/>
      <c r="L64" s="246"/>
      <c r="M64" s="29"/>
    </row>
    <row r="65" spans="2:13" ht="20.100000000000001" hidden="1" customHeight="1" x14ac:dyDescent="0.15">
      <c r="B65" s="5">
        <v>60</v>
      </c>
      <c r="C65" s="263"/>
      <c r="D65" s="264"/>
      <c r="E65" s="7"/>
      <c r="F65" s="248"/>
      <c r="G65" s="249"/>
      <c r="H65" s="250"/>
      <c r="I65" s="245"/>
      <c r="J65" s="246"/>
      <c r="K65" s="245"/>
      <c r="L65" s="246"/>
      <c r="M65" s="29"/>
    </row>
    <row r="66" spans="2:13" ht="20.100000000000001" hidden="1" customHeight="1" x14ac:dyDescent="0.15">
      <c r="B66" s="5">
        <v>61</v>
      </c>
      <c r="C66" s="263"/>
      <c r="D66" s="264"/>
      <c r="E66" s="7"/>
      <c r="F66" s="248"/>
      <c r="G66" s="249"/>
      <c r="H66" s="250"/>
      <c r="I66" s="245"/>
      <c r="J66" s="246"/>
      <c r="K66" s="245"/>
      <c r="L66" s="246"/>
      <c r="M66" s="29"/>
    </row>
    <row r="67" spans="2:13" ht="20.100000000000001" hidden="1" customHeight="1" x14ac:dyDescent="0.15">
      <c r="B67" s="5">
        <v>62</v>
      </c>
      <c r="C67" s="263"/>
      <c r="D67" s="264"/>
      <c r="E67" s="7"/>
      <c r="F67" s="248"/>
      <c r="G67" s="249"/>
      <c r="H67" s="250"/>
      <c r="I67" s="245"/>
      <c r="J67" s="246"/>
      <c r="K67" s="245"/>
      <c r="L67" s="246"/>
      <c r="M67" s="29"/>
    </row>
    <row r="68" spans="2:13" ht="20.100000000000001" hidden="1" customHeight="1" x14ac:dyDescent="0.15">
      <c r="B68" s="5">
        <v>63</v>
      </c>
      <c r="C68" s="263"/>
      <c r="D68" s="264"/>
      <c r="E68" s="7"/>
      <c r="F68" s="248"/>
      <c r="G68" s="249"/>
      <c r="H68" s="250"/>
      <c r="I68" s="245"/>
      <c r="J68" s="246"/>
      <c r="K68" s="245"/>
      <c r="L68" s="246"/>
      <c r="M68" s="29"/>
    </row>
    <row r="69" spans="2:13" ht="20.100000000000001" hidden="1" customHeight="1" thickBot="1" x14ac:dyDescent="0.2">
      <c r="B69" s="5">
        <v>64</v>
      </c>
      <c r="C69" s="263"/>
      <c r="D69" s="264"/>
      <c r="E69" s="7"/>
      <c r="F69" s="248"/>
      <c r="G69" s="249"/>
      <c r="H69" s="250"/>
      <c r="I69" s="245"/>
      <c r="J69" s="246"/>
      <c r="K69" s="245"/>
      <c r="L69" s="246"/>
      <c r="M69" s="29"/>
    </row>
    <row r="70" spans="2:13" ht="20.100000000000001" hidden="1" customHeight="1" x14ac:dyDescent="0.15">
      <c r="B70" s="5">
        <v>65</v>
      </c>
      <c r="C70" s="263"/>
      <c r="D70" s="264"/>
      <c r="E70" s="7"/>
      <c r="F70" s="248"/>
      <c r="G70" s="249"/>
      <c r="H70" s="250"/>
      <c r="I70" s="245"/>
      <c r="J70" s="246"/>
      <c r="K70" s="245"/>
      <c r="L70" s="246"/>
      <c r="M70" s="29"/>
    </row>
    <row r="71" spans="2:13" ht="20.100000000000001" hidden="1" customHeight="1" x14ac:dyDescent="0.15">
      <c r="B71" s="5">
        <v>66</v>
      </c>
      <c r="C71" s="263"/>
      <c r="D71" s="264"/>
      <c r="E71" s="7"/>
      <c r="F71" s="248"/>
      <c r="G71" s="249"/>
      <c r="H71" s="250"/>
      <c r="I71" s="245"/>
      <c r="J71" s="246"/>
      <c r="K71" s="245"/>
      <c r="L71" s="246"/>
      <c r="M71" s="29"/>
    </row>
    <row r="72" spans="2:13" ht="20.100000000000001" hidden="1" customHeight="1" x14ac:dyDescent="0.15">
      <c r="B72" s="5">
        <v>67</v>
      </c>
      <c r="C72" s="263"/>
      <c r="D72" s="264"/>
      <c r="E72" s="7"/>
      <c r="F72" s="248"/>
      <c r="G72" s="249"/>
      <c r="H72" s="250"/>
      <c r="I72" s="245"/>
      <c r="J72" s="246"/>
      <c r="K72" s="245"/>
      <c r="L72" s="246"/>
      <c r="M72" s="29"/>
    </row>
    <row r="73" spans="2:13" ht="20.100000000000001" hidden="1" customHeight="1" x14ac:dyDescent="0.15">
      <c r="B73" s="5">
        <v>68</v>
      </c>
      <c r="C73" s="263"/>
      <c r="D73" s="264"/>
      <c r="E73" s="7"/>
      <c r="F73" s="248"/>
      <c r="G73" s="249"/>
      <c r="H73" s="250"/>
      <c r="I73" s="245"/>
      <c r="J73" s="246"/>
      <c r="K73" s="245"/>
      <c r="L73" s="246"/>
      <c r="M73" s="29"/>
    </row>
    <row r="74" spans="2:13" ht="20.100000000000001" hidden="1" customHeight="1" x14ac:dyDescent="0.15">
      <c r="B74" s="5">
        <v>69</v>
      </c>
      <c r="C74" s="263"/>
      <c r="D74" s="264"/>
      <c r="E74" s="7"/>
      <c r="F74" s="248"/>
      <c r="G74" s="249"/>
      <c r="H74" s="250"/>
      <c r="I74" s="245"/>
      <c r="J74" s="246"/>
      <c r="K74" s="245"/>
      <c r="L74" s="246"/>
      <c r="M74" s="29"/>
    </row>
    <row r="75" spans="2:13" ht="20.100000000000001" hidden="1" customHeight="1" x14ac:dyDescent="0.15">
      <c r="B75" s="5">
        <v>70</v>
      </c>
      <c r="C75" s="263"/>
      <c r="D75" s="264"/>
      <c r="E75" s="7"/>
      <c r="F75" s="248"/>
      <c r="G75" s="249"/>
      <c r="H75" s="250"/>
      <c r="I75" s="245"/>
      <c r="J75" s="246"/>
      <c r="K75" s="245"/>
      <c r="L75" s="246"/>
      <c r="M75" s="29"/>
    </row>
    <row r="76" spans="2:13" ht="20.100000000000001" hidden="1" customHeight="1" x14ac:dyDescent="0.15">
      <c r="B76" s="5">
        <v>71</v>
      </c>
      <c r="C76" s="263"/>
      <c r="D76" s="264"/>
      <c r="E76" s="7"/>
      <c r="F76" s="248"/>
      <c r="G76" s="249"/>
      <c r="H76" s="250"/>
      <c r="I76" s="245"/>
      <c r="J76" s="246"/>
      <c r="K76" s="245"/>
      <c r="L76" s="246"/>
      <c r="M76" s="29"/>
    </row>
    <row r="77" spans="2:13" ht="20.100000000000001" hidden="1" customHeight="1" thickBot="1" x14ac:dyDescent="0.2">
      <c r="B77" s="5">
        <v>72</v>
      </c>
      <c r="C77" s="263"/>
      <c r="D77" s="264"/>
      <c r="E77" s="7"/>
      <c r="F77" s="248"/>
      <c r="G77" s="249"/>
      <c r="H77" s="250"/>
      <c r="I77" s="245"/>
      <c r="J77" s="246"/>
      <c r="K77" s="245"/>
      <c r="L77" s="246"/>
      <c r="M77" s="29"/>
    </row>
    <row r="78" spans="2:13" ht="20.100000000000001" hidden="1" customHeight="1" x14ac:dyDescent="0.15">
      <c r="B78" s="5">
        <v>73</v>
      </c>
      <c r="C78" s="263"/>
      <c r="D78" s="264"/>
      <c r="E78" s="7"/>
      <c r="F78" s="248"/>
      <c r="G78" s="249"/>
      <c r="H78" s="250"/>
      <c r="I78" s="245"/>
      <c r="J78" s="246"/>
      <c r="K78" s="245"/>
      <c r="L78" s="246"/>
      <c r="M78" s="29"/>
    </row>
    <row r="79" spans="2:13" ht="20.100000000000001" hidden="1" customHeight="1" x14ac:dyDescent="0.15">
      <c r="B79" s="5">
        <v>74</v>
      </c>
      <c r="C79" s="263"/>
      <c r="D79" s="264"/>
      <c r="E79" s="7"/>
      <c r="F79" s="248"/>
      <c r="G79" s="249"/>
      <c r="H79" s="250"/>
      <c r="I79" s="245"/>
      <c r="J79" s="246"/>
      <c r="K79" s="245"/>
      <c r="L79" s="246"/>
      <c r="M79" s="29"/>
    </row>
    <row r="80" spans="2:13" ht="20.100000000000001" hidden="1" customHeight="1" x14ac:dyDescent="0.15">
      <c r="B80" s="5">
        <v>75</v>
      </c>
      <c r="C80" s="263"/>
      <c r="D80" s="264"/>
      <c r="E80" s="7"/>
      <c r="F80" s="248"/>
      <c r="G80" s="249"/>
      <c r="H80" s="250"/>
      <c r="I80" s="245"/>
      <c r="J80" s="246"/>
      <c r="K80" s="245"/>
      <c r="L80" s="246"/>
      <c r="M80" s="29"/>
    </row>
    <row r="81" spans="2:13" ht="20.100000000000001" hidden="1" customHeight="1" x14ac:dyDescent="0.15">
      <c r="B81" s="5">
        <v>76</v>
      </c>
      <c r="C81" s="263"/>
      <c r="D81" s="264"/>
      <c r="E81" s="7"/>
      <c r="F81" s="248"/>
      <c r="G81" s="249"/>
      <c r="H81" s="250"/>
      <c r="I81" s="245"/>
      <c r="J81" s="246"/>
      <c r="K81" s="245"/>
      <c r="L81" s="246"/>
      <c r="M81" s="29"/>
    </row>
    <row r="82" spans="2:13" ht="20.100000000000001" hidden="1" customHeight="1" x14ac:dyDescent="0.15">
      <c r="B82" s="5">
        <v>77</v>
      </c>
      <c r="C82" s="263"/>
      <c r="D82" s="264"/>
      <c r="E82" s="7"/>
      <c r="F82" s="248"/>
      <c r="G82" s="249"/>
      <c r="H82" s="250"/>
      <c r="I82" s="245"/>
      <c r="J82" s="246"/>
      <c r="K82" s="245"/>
      <c r="L82" s="246"/>
      <c r="M82" s="29"/>
    </row>
    <row r="83" spans="2:13" ht="20.100000000000001" hidden="1" customHeight="1" x14ac:dyDescent="0.15">
      <c r="B83" s="5">
        <v>78</v>
      </c>
      <c r="C83" s="263"/>
      <c r="D83" s="264"/>
      <c r="E83" s="7"/>
      <c r="F83" s="248"/>
      <c r="G83" s="249"/>
      <c r="H83" s="250"/>
      <c r="I83" s="245"/>
      <c r="J83" s="246"/>
      <c r="K83" s="245"/>
      <c r="L83" s="246"/>
      <c r="M83" s="29"/>
    </row>
    <row r="84" spans="2:13" ht="20.100000000000001" hidden="1" customHeight="1" x14ac:dyDescent="0.15">
      <c r="B84" s="5">
        <v>79</v>
      </c>
      <c r="C84" s="263"/>
      <c r="D84" s="264"/>
      <c r="E84" s="7"/>
      <c r="F84" s="248"/>
      <c r="G84" s="249"/>
      <c r="H84" s="250"/>
      <c r="I84" s="245"/>
      <c r="J84" s="246"/>
      <c r="K84" s="245"/>
      <c r="L84" s="246"/>
      <c r="M84" s="29"/>
    </row>
    <row r="85" spans="2:13" ht="20.100000000000001" hidden="1" customHeight="1" thickBot="1" x14ac:dyDescent="0.2">
      <c r="B85" s="5">
        <v>80</v>
      </c>
      <c r="C85" s="263"/>
      <c r="D85" s="264"/>
      <c r="E85" s="7"/>
      <c r="F85" s="248"/>
      <c r="G85" s="249"/>
      <c r="H85" s="250"/>
      <c r="I85" s="245"/>
      <c r="J85" s="246"/>
      <c r="K85" s="245"/>
      <c r="L85" s="246"/>
      <c r="M85" s="29"/>
    </row>
    <row r="86" spans="2:13" ht="20.100000000000001" hidden="1" customHeight="1" x14ac:dyDescent="0.15">
      <c r="B86" s="5">
        <v>81</v>
      </c>
      <c r="C86" s="263"/>
      <c r="D86" s="264"/>
      <c r="E86" s="7"/>
      <c r="F86" s="248"/>
      <c r="G86" s="249"/>
      <c r="H86" s="250"/>
      <c r="I86" s="245"/>
      <c r="J86" s="246"/>
      <c r="K86" s="245"/>
      <c r="L86" s="246"/>
      <c r="M86" s="29"/>
    </row>
    <row r="87" spans="2:13" ht="20.100000000000001" hidden="1" customHeight="1" x14ac:dyDescent="0.15">
      <c r="B87" s="5">
        <v>82</v>
      </c>
      <c r="C87" s="263"/>
      <c r="D87" s="264"/>
      <c r="E87" s="7"/>
      <c r="F87" s="248"/>
      <c r="G87" s="249"/>
      <c r="H87" s="250"/>
      <c r="I87" s="245"/>
      <c r="J87" s="246"/>
      <c r="K87" s="245"/>
      <c r="L87" s="246"/>
      <c r="M87" s="29"/>
    </row>
    <row r="88" spans="2:13" ht="20.100000000000001" hidden="1" customHeight="1" x14ac:dyDescent="0.15">
      <c r="B88" s="5">
        <v>83</v>
      </c>
      <c r="C88" s="263"/>
      <c r="D88" s="264"/>
      <c r="E88" s="7"/>
      <c r="F88" s="248"/>
      <c r="G88" s="249"/>
      <c r="H88" s="250"/>
      <c r="I88" s="245"/>
      <c r="J88" s="246"/>
      <c r="K88" s="245"/>
      <c r="L88" s="246"/>
      <c r="M88" s="29"/>
    </row>
    <row r="89" spans="2:13" ht="20.100000000000001" hidden="1" customHeight="1" x14ac:dyDescent="0.15">
      <c r="B89" s="5">
        <v>84</v>
      </c>
      <c r="C89" s="263"/>
      <c r="D89" s="264"/>
      <c r="E89" s="7"/>
      <c r="F89" s="248"/>
      <c r="G89" s="249"/>
      <c r="H89" s="250"/>
      <c r="I89" s="245"/>
      <c r="J89" s="246"/>
      <c r="K89" s="245"/>
      <c r="L89" s="246"/>
      <c r="M89" s="29"/>
    </row>
    <row r="90" spans="2:13" ht="20.100000000000001" hidden="1" customHeight="1" x14ac:dyDescent="0.15">
      <c r="B90" s="5">
        <v>85</v>
      </c>
      <c r="C90" s="263"/>
      <c r="D90" s="264"/>
      <c r="E90" s="7"/>
      <c r="F90" s="248"/>
      <c r="G90" s="249"/>
      <c r="H90" s="250"/>
      <c r="I90" s="245"/>
      <c r="J90" s="246"/>
      <c r="K90" s="245"/>
      <c r="L90" s="246"/>
      <c r="M90" s="29"/>
    </row>
    <row r="91" spans="2:13" ht="20.100000000000001" hidden="1" customHeight="1" x14ac:dyDescent="0.15">
      <c r="B91" s="5">
        <v>86</v>
      </c>
      <c r="C91" s="263"/>
      <c r="D91" s="264"/>
      <c r="E91" s="7"/>
      <c r="F91" s="248"/>
      <c r="G91" s="249"/>
      <c r="H91" s="250"/>
      <c r="I91" s="245"/>
      <c r="J91" s="246"/>
      <c r="K91" s="245"/>
      <c r="L91" s="246"/>
      <c r="M91" s="29"/>
    </row>
    <row r="92" spans="2:13" ht="20.100000000000001" hidden="1" customHeight="1" x14ac:dyDescent="0.15">
      <c r="B92" s="5">
        <v>87</v>
      </c>
      <c r="C92" s="263"/>
      <c r="D92" s="264"/>
      <c r="E92" s="7"/>
      <c r="F92" s="248"/>
      <c r="G92" s="249"/>
      <c r="H92" s="250"/>
      <c r="I92" s="245"/>
      <c r="J92" s="246"/>
      <c r="K92" s="245"/>
      <c r="L92" s="246"/>
      <c r="M92" s="29"/>
    </row>
    <row r="93" spans="2:13" ht="20.100000000000001" hidden="1" customHeight="1" thickBot="1" x14ac:dyDescent="0.2">
      <c r="B93" s="5">
        <v>88</v>
      </c>
      <c r="C93" s="263"/>
      <c r="D93" s="264"/>
      <c r="E93" s="7"/>
      <c r="F93" s="248"/>
      <c r="G93" s="249"/>
      <c r="H93" s="250"/>
      <c r="I93" s="245"/>
      <c r="J93" s="246"/>
      <c r="K93" s="245"/>
      <c r="L93" s="246"/>
      <c r="M93" s="29"/>
    </row>
    <row r="94" spans="2:13" ht="20.100000000000001" hidden="1" customHeight="1" x14ac:dyDescent="0.15">
      <c r="B94" s="5">
        <v>89</v>
      </c>
      <c r="C94" s="263"/>
      <c r="D94" s="264"/>
      <c r="E94" s="7"/>
      <c r="F94" s="248"/>
      <c r="G94" s="249"/>
      <c r="H94" s="250"/>
      <c r="I94" s="245"/>
      <c r="J94" s="246"/>
      <c r="K94" s="245"/>
      <c r="L94" s="246"/>
      <c r="M94" s="29"/>
    </row>
    <row r="95" spans="2:13" ht="20.100000000000001" hidden="1" customHeight="1" x14ac:dyDescent="0.15">
      <c r="B95" s="5">
        <v>90</v>
      </c>
      <c r="C95" s="263"/>
      <c r="D95" s="264"/>
      <c r="E95" s="7"/>
      <c r="F95" s="248"/>
      <c r="G95" s="249"/>
      <c r="H95" s="250"/>
      <c r="I95" s="245"/>
      <c r="J95" s="246"/>
      <c r="K95" s="245"/>
      <c r="L95" s="246"/>
      <c r="M95" s="29"/>
    </row>
    <row r="96" spans="2:13" ht="20.100000000000001" hidden="1" customHeight="1" x14ac:dyDescent="0.15">
      <c r="B96" s="5">
        <v>91</v>
      </c>
      <c r="C96" s="263"/>
      <c r="D96" s="264"/>
      <c r="E96" s="7"/>
      <c r="F96" s="248"/>
      <c r="G96" s="249"/>
      <c r="H96" s="250"/>
      <c r="I96" s="245"/>
      <c r="J96" s="246"/>
      <c r="K96" s="245"/>
      <c r="L96" s="246"/>
      <c r="M96" s="29"/>
    </row>
    <row r="97" spans="2:13" ht="20.100000000000001" hidden="1" customHeight="1" x14ac:dyDescent="0.15">
      <c r="B97" s="5">
        <v>92</v>
      </c>
      <c r="C97" s="263"/>
      <c r="D97" s="264"/>
      <c r="E97" s="7"/>
      <c r="F97" s="248"/>
      <c r="G97" s="249"/>
      <c r="H97" s="250"/>
      <c r="I97" s="245"/>
      <c r="J97" s="246"/>
      <c r="K97" s="245"/>
      <c r="L97" s="246"/>
      <c r="M97" s="29"/>
    </row>
    <row r="98" spans="2:13" ht="20.100000000000001" hidden="1" customHeight="1" x14ac:dyDescent="0.15">
      <c r="B98" s="5">
        <v>93</v>
      </c>
      <c r="C98" s="263"/>
      <c r="D98" s="264"/>
      <c r="E98" s="7"/>
      <c r="F98" s="248"/>
      <c r="G98" s="249"/>
      <c r="H98" s="250"/>
      <c r="I98" s="245"/>
      <c r="J98" s="246"/>
      <c r="K98" s="245"/>
      <c r="L98" s="246"/>
      <c r="M98" s="29"/>
    </row>
    <row r="99" spans="2:13" ht="20.100000000000001" hidden="1" customHeight="1" x14ac:dyDescent="0.15">
      <c r="B99" s="5">
        <v>94</v>
      </c>
      <c r="C99" s="263"/>
      <c r="D99" s="264"/>
      <c r="E99" s="7"/>
      <c r="F99" s="248"/>
      <c r="G99" s="249"/>
      <c r="H99" s="250"/>
      <c r="I99" s="245"/>
      <c r="J99" s="246"/>
      <c r="K99" s="245"/>
      <c r="L99" s="246"/>
      <c r="M99" s="29"/>
    </row>
    <row r="100" spans="2:13" ht="20.100000000000001" hidden="1" customHeight="1" x14ac:dyDescent="0.15">
      <c r="B100" s="5">
        <v>95</v>
      </c>
      <c r="C100" s="263"/>
      <c r="D100" s="264"/>
      <c r="E100" s="7"/>
      <c r="F100" s="248"/>
      <c r="G100" s="249"/>
      <c r="H100" s="250"/>
      <c r="I100" s="245"/>
      <c r="J100" s="246"/>
      <c r="K100" s="245"/>
      <c r="L100" s="246"/>
      <c r="M100" s="29"/>
    </row>
    <row r="101" spans="2:13" ht="20.100000000000001" hidden="1" customHeight="1" x14ac:dyDescent="0.15">
      <c r="B101" s="5">
        <v>96</v>
      </c>
      <c r="C101" s="263"/>
      <c r="D101" s="264"/>
      <c r="E101" s="7"/>
      <c r="F101" s="248"/>
      <c r="G101" s="249"/>
      <c r="H101" s="250"/>
      <c r="I101" s="245"/>
      <c r="J101" s="246"/>
      <c r="K101" s="245"/>
      <c r="L101" s="246"/>
      <c r="M101" s="29"/>
    </row>
    <row r="102" spans="2:13" ht="20.100000000000001" hidden="1" customHeight="1" x14ac:dyDescent="0.15">
      <c r="B102" s="5">
        <v>97</v>
      </c>
      <c r="C102" s="263"/>
      <c r="D102" s="264"/>
      <c r="E102" s="7"/>
      <c r="F102" s="248"/>
      <c r="G102" s="249"/>
      <c r="H102" s="250"/>
      <c r="I102" s="245"/>
      <c r="J102" s="246"/>
      <c r="K102" s="245"/>
      <c r="L102" s="246"/>
      <c r="M102" s="29"/>
    </row>
    <row r="103" spans="2:13" ht="20.100000000000001" hidden="1" customHeight="1" x14ac:dyDescent="0.15">
      <c r="B103" s="5">
        <v>98</v>
      </c>
      <c r="C103" s="263"/>
      <c r="D103" s="264"/>
      <c r="E103" s="7"/>
      <c r="F103" s="248"/>
      <c r="G103" s="249"/>
      <c r="H103" s="250"/>
      <c r="I103" s="245"/>
      <c r="J103" s="246"/>
      <c r="K103" s="245"/>
      <c r="L103" s="246"/>
      <c r="M103" s="29"/>
    </row>
    <row r="104" spans="2:13" ht="20.100000000000001" hidden="1" customHeight="1" x14ac:dyDescent="0.15">
      <c r="B104" s="5">
        <v>99</v>
      </c>
      <c r="C104" s="263"/>
      <c r="D104" s="264"/>
      <c r="E104" s="7"/>
      <c r="F104" s="248"/>
      <c r="G104" s="249"/>
      <c r="H104" s="250"/>
      <c r="I104" s="245"/>
      <c r="J104" s="246"/>
      <c r="K104" s="245"/>
      <c r="L104" s="246"/>
      <c r="M104" s="29"/>
    </row>
    <row r="105" spans="2:13" ht="20.100000000000001" hidden="1" customHeight="1" x14ac:dyDescent="0.15">
      <c r="B105" s="5">
        <v>100</v>
      </c>
      <c r="C105" s="263"/>
      <c r="D105" s="264"/>
      <c r="E105" s="7"/>
      <c r="F105" s="248"/>
      <c r="G105" s="249"/>
      <c r="H105" s="250"/>
      <c r="I105" s="245"/>
      <c r="J105" s="246"/>
      <c r="K105" s="245"/>
      <c r="L105" s="246"/>
      <c r="M105" s="29"/>
    </row>
    <row r="106" spans="2:13" ht="20.100000000000001" hidden="1" customHeight="1" x14ac:dyDescent="0.15">
      <c r="B106" s="5">
        <v>101</v>
      </c>
      <c r="C106" s="263"/>
      <c r="D106" s="264"/>
      <c r="E106" s="7"/>
      <c r="F106" s="248"/>
      <c r="G106" s="249"/>
      <c r="H106" s="250"/>
      <c r="I106" s="245"/>
      <c r="J106" s="246"/>
      <c r="K106" s="245"/>
      <c r="L106" s="246"/>
      <c r="M106" s="29"/>
    </row>
    <row r="107" spans="2:13" ht="20.100000000000001" hidden="1" customHeight="1" x14ac:dyDescent="0.15">
      <c r="B107" s="5">
        <v>102</v>
      </c>
      <c r="C107" s="263"/>
      <c r="D107" s="264"/>
      <c r="E107" s="7"/>
      <c r="F107" s="248"/>
      <c r="G107" s="249"/>
      <c r="H107" s="250"/>
      <c r="I107" s="245"/>
      <c r="J107" s="246"/>
      <c r="K107" s="245"/>
      <c r="L107" s="246"/>
      <c r="M107" s="29"/>
    </row>
    <row r="108" spans="2:13" ht="20.100000000000001" hidden="1" customHeight="1" x14ac:dyDescent="0.15">
      <c r="B108" s="5">
        <v>103</v>
      </c>
      <c r="C108" s="263"/>
      <c r="D108" s="264"/>
      <c r="E108" s="7"/>
      <c r="F108" s="248"/>
      <c r="G108" s="249"/>
      <c r="H108" s="250"/>
      <c r="I108" s="245"/>
      <c r="J108" s="246"/>
      <c r="K108" s="245"/>
      <c r="L108" s="246"/>
      <c r="M108" s="29"/>
    </row>
    <row r="109" spans="2:13" ht="20.100000000000001" hidden="1" customHeight="1" x14ac:dyDescent="0.15">
      <c r="B109" s="5">
        <v>104</v>
      </c>
      <c r="C109" s="263"/>
      <c r="D109" s="264"/>
      <c r="E109" s="7"/>
      <c r="F109" s="248"/>
      <c r="G109" s="249"/>
      <c r="H109" s="250"/>
      <c r="I109" s="245"/>
      <c r="J109" s="246"/>
      <c r="K109" s="245"/>
      <c r="L109" s="246"/>
      <c r="M109" s="29"/>
    </row>
    <row r="110" spans="2:13" ht="20.100000000000001" hidden="1" customHeight="1" x14ac:dyDescent="0.15">
      <c r="B110" s="5">
        <v>105</v>
      </c>
      <c r="C110" s="263"/>
      <c r="D110" s="264"/>
      <c r="E110" s="7"/>
      <c r="F110" s="248"/>
      <c r="G110" s="249"/>
      <c r="H110" s="250"/>
      <c r="I110" s="245"/>
      <c r="J110" s="246"/>
      <c r="K110" s="245"/>
      <c r="L110" s="246"/>
      <c r="M110" s="29"/>
    </row>
    <row r="111" spans="2:13" ht="20.100000000000001" hidden="1" customHeight="1" x14ac:dyDescent="0.15">
      <c r="B111" s="5">
        <v>106</v>
      </c>
      <c r="C111" s="263"/>
      <c r="D111" s="264"/>
      <c r="E111" s="7"/>
      <c r="F111" s="248"/>
      <c r="G111" s="249"/>
      <c r="H111" s="250"/>
      <c r="I111" s="245"/>
      <c r="J111" s="246"/>
      <c r="K111" s="245"/>
      <c r="L111" s="246"/>
      <c r="M111" s="29"/>
    </row>
    <row r="112" spans="2:13" ht="20.100000000000001" hidden="1" customHeight="1" x14ac:dyDescent="0.15">
      <c r="B112" s="5">
        <v>107</v>
      </c>
      <c r="C112" s="263"/>
      <c r="D112" s="264"/>
      <c r="E112" s="7"/>
      <c r="F112" s="248"/>
      <c r="G112" s="249"/>
      <c r="H112" s="250"/>
      <c r="I112" s="245"/>
      <c r="J112" s="246"/>
      <c r="K112" s="245"/>
      <c r="L112" s="246"/>
      <c r="M112" s="29"/>
    </row>
    <row r="113" spans="2:13" ht="20.100000000000001" hidden="1" customHeight="1" x14ac:dyDescent="0.15">
      <c r="B113" s="5">
        <v>108</v>
      </c>
      <c r="C113" s="263"/>
      <c r="D113" s="264"/>
      <c r="E113" s="7"/>
      <c r="F113" s="248"/>
      <c r="G113" s="249"/>
      <c r="H113" s="250"/>
      <c r="I113" s="245"/>
      <c r="J113" s="246"/>
      <c r="K113" s="245"/>
      <c r="L113" s="246"/>
      <c r="M113" s="29"/>
    </row>
    <row r="114" spans="2:13" ht="20.100000000000001" hidden="1" customHeight="1" x14ac:dyDescent="0.15">
      <c r="B114" s="5">
        <v>109</v>
      </c>
      <c r="C114" s="263"/>
      <c r="D114" s="264"/>
      <c r="E114" s="7"/>
      <c r="F114" s="248"/>
      <c r="G114" s="249"/>
      <c r="H114" s="250"/>
      <c r="I114" s="245"/>
      <c r="J114" s="246"/>
      <c r="K114" s="245"/>
      <c r="L114" s="246"/>
      <c r="M114" s="29"/>
    </row>
    <row r="115" spans="2:13" ht="20.100000000000001" hidden="1" customHeight="1" x14ac:dyDescent="0.15">
      <c r="B115" s="5">
        <v>110</v>
      </c>
      <c r="C115" s="263"/>
      <c r="D115" s="264"/>
      <c r="E115" s="7"/>
      <c r="F115" s="248"/>
      <c r="G115" s="249"/>
      <c r="H115" s="250"/>
      <c r="I115" s="245"/>
      <c r="J115" s="246"/>
      <c r="K115" s="245"/>
      <c r="L115" s="246"/>
      <c r="M115" s="29"/>
    </row>
    <row r="116" spans="2:13" ht="20.100000000000001" hidden="1" customHeight="1" x14ac:dyDescent="0.15">
      <c r="B116" s="5">
        <v>111</v>
      </c>
      <c r="C116" s="263"/>
      <c r="D116" s="264"/>
      <c r="E116" s="7"/>
      <c r="F116" s="248"/>
      <c r="G116" s="249"/>
      <c r="H116" s="250"/>
      <c r="I116" s="245"/>
      <c r="J116" s="246"/>
      <c r="K116" s="245"/>
      <c r="L116" s="246"/>
      <c r="M116" s="29"/>
    </row>
    <row r="117" spans="2:13" ht="20.100000000000001" hidden="1" customHeight="1" x14ac:dyDescent="0.15">
      <c r="B117" s="5">
        <v>112</v>
      </c>
      <c r="C117" s="263"/>
      <c r="D117" s="264"/>
      <c r="E117" s="7"/>
      <c r="F117" s="248"/>
      <c r="G117" s="249"/>
      <c r="H117" s="250"/>
      <c r="I117" s="245"/>
      <c r="J117" s="246"/>
      <c r="K117" s="245"/>
      <c r="L117" s="246"/>
      <c r="M117" s="29"/>
    </row>
    <row r="118" spans="2:13" ht="20.100000000000001" hidden="1" customHeight="1" x14ac:dyDescent="0.15">
      <c r="B118" s="5">
        <v>113</v>
      </c>
      <c r="C118" s="263"/>
      <c r="D118" s="264"/>
      <c r="E118" s="7"/>
      <c r="F118" s="248"/>
      <c r="G118" s="249"/>
      <c r="H118" s="250"/>
      <c r="I118" s="245"/>
      <c r="J118" s="246"/>
      <c r="K118" s="245"/>
      <c r="L118" s="246"/>
      <c r="M118" s="29"/>
    </row>
    <row r="119" spans="2:13" ht="20.100000000000001" hidden="1" customHeight="1" x14ac:dyDescent="0.15">
      <c r="B119" s="5">
        <v>114</v>
      </c>
      <c r="C119" s="263"/>
      <c r="D119" s="264"/>
      <c r="E119" s="7"/>
      <c r="F119" s="248"/>
      <c r="G119" s="249"/>
      <c r="H119" s="250"/>
      <c r="I119" s="245"/>
      <c r="J119" s="246"/>
      <c r="K119" s="245"/>
      <c r="L119" s="246"/>
      <c r="M119" s="29"/>
    </row>
    <row r="120" spans="2:13" ht="20.100000000000001" hidden="1" customHeight="1" x14ac:dyDescent="0.15">
      <c r="B120" s="5">
        <v>115</v>
      </c>
      <c r="C120" s="263"/>
      <c r="D120" s="264"/>
      <c r="E120" s="7"/>
      <c r="F120" s="248"/>
      <c r="G120" s="249"/>
      <c r="H120" s="250"/>
      <c r="I120" s="245"/>
      <c r="J120" s="246"/>
      <c r="K120" s="245"/>
      <c r="L120" s="246"/>
      <c r="M120" s="29"/>
    </row>
    <row r="121" spans="2:13" ht="20.100000000000001" hidden="1" customHeight="1" x14ac:dyDescent="0.15">
      <c r="B121" s="5">
        <v>116</v>
      </c>
      <c r="C121" s="263"/>
      <c r="D121" s="264"/>
      <c r="E121" s="7"/>
      <c r="F121" s="248"/>
      <c r="G121" s="249"/>
      <c r="H121" s="250"/>
      <c r="I121" s="245"/>
      <c r="J121" s="246"/>
      <c r="K121" s="245"/>
      <c r="L121" s="246"/>
      <c r="M121" s="29"/>
    </row>
    <row r="122" spans="2:13" ht="20.100000000000001" hidden="1" customHeight="1" x14ac:dyDescent="0.15">
      <c r="B122" s="5">
        <v>117</v>
      </c>
      <c r="C122" s="263"/>
      <c r="D122" s="264"/>
      <c r="E122" s="7"/>
      <c r="F122" s="248"/>
      <c r="G122" s="249"/>
      <c r="H122" s="250"/>
      <c r="I122" s="245"/>
      <c r="J122" s="246"/>
      <c r="K122" s="245"/>
      <c r="L122" s="246"/>
      <c r="M122" s="29"/>
    </row>
    <row r="123" spans="2:13" ht="20.100000000000001" hidden="1" customHeight="1" x14ac:dyDescent="0.15">
      <c r="B123" s="5">
        <v>118</v>
      </c>
      <c r="C123" s="263"/>
      <c r="D123" s="264"/>
      <c r="E123" s="7"/>
      <c r="F123" s="248"/>
      <c r="G123" s="249"/>
      <c r="H123" s="250"/>
      <c r="I123" s="245"/>
      <c r="J123" s="246"/>
      <c r="K123" s="245"/>
      <c r="L123" s="246"/>
      <c r="M123" s="29"/>
    </row>
    <row r="124" spans="2:13" ht="20.100000000000001" hidden="1" customHeight="1" x14ac:dyDescent="0.15">
      <c r="B124" s="5">
        <v>119</v>
      </c>
      <c r="C124" s="263"/>
      <c r="D124" s="264"/>
      <c r="E124" s="7"/>
      <c r="F124" s="248"/>
      <c r="G124" s="249"/>
      <c r="H124" s="250"/>
      <c r="I124" s="245"/>
      <c r="J124" s="246"/>
      <c r="K124" s="245"/>
      <c r="L124" s="246"/>
      <c r="M124" s="29"/>
    </row>
    <row r="125" spans="2:13" ht="20.100000000000001" hidden="1" customHeight="1" x14ac:dyDescent="0.15">
      <c r="B125" s="5">
        <v>120</v>
      </c>
      <c r="C125" s="263"/>
      <c r="D125" s="264"/>
      <c r="E125" s="7"/>
      <c r="F125" s="248"/>
      <c r="G125" s="249"/>
      <c r="H125" s="250"/>
      <c r="I125" s="245"/>
      <c r="J125" s="246"/>
      <c r="K125" s="245"/>
      <c r="L125" s="246"/>
      <c r="M125" s="29"/>
    </row>
    <row r="126" spans="2:13" ht="20.100000000000001" hidden="1" customHeight="1" x14ac:dyDescent="0.15">
      <c r="B126" s="5">
        <v>121</v>
      </c>
      <c r="C126" s="263"/>
      <c r="D126" s="264"/>
      <c r="E126" s="7"/>
      <c r="F126" s="248"/>
      <c r="G126" s="249"/>
      <c r="H126" s="250"/>
      <c r="I126" s="245"/>
      <c r="J126" s="246"/>
      <c r="K126" s="245"/>
      <c r="L126" s="246"/>
      <c r="M126" s="29"/>
    </row>
    <row r="127" spans="2:13" ht="20.100000000000001" hidden="1" customHeight="1" x14ac:dyDescent="0.15">
      <c r="B127" s="5">
        <v>122</v>
      </c>
      <c r="C127" s="263"/>
      <c r="D127" s="264"/>
      <c r="E127" s="7"/>
      <c r="F127" s="248"/>
      <c r="G127" s="249"/>
      <c r="H127" s="250"/>
      <c r="I127" s="245"/>
      <c r="J127" s="246"/>
      <c r="K127" s="245"/>
      <c r="L127" s="246"/>
      <c r="M127" s="29"/>
    </row>
    <row r="128" spans="2:13" ht="20.100000000000001" hidden="1" customHeight="1" x14ac:dyDescent="0.15">
      <c r="B128" s="5">
        <v>123</v>
      </c>
      <c r="C128" s="263"/>
      <c r="D128" s="264"/>
      <c r="E128" s="7"/>
      <c r="F128" s="248"/>
      <c r="G128" s="249"/>
      <c r="H128" s="250"/>
      <c r="I128" s="245"/>
      <c r="J128" s="246"/>
      <c r="K128" s="245"/>
      <c r="L128" s="246"/>
      <c r="M128" s="29"/>
    </row>
    <row r="129" spans="2:13" ht="20.100000000000001" hidden="1" customHeight="1" x14ac:dyDescent="0.15">
      <c r="B129" s="5">
        <v>124</v>
      </c>
      <c r="C129" s="263"/>
      <c r="D129" s="264"/>
      <c r="E129" s="7"/>
      <c r="F129" s="248"/>
      <c r="G129" s="249"/>
      <c r="H129" s="250"/>
      <c r="I129" s="245"/>
      <c r="J129" s="246"/>
      <c r="K129" s="245"/>
      <c r="L129" s="246"/>
      <c r="M129" s="29"/>
    </row>
    <row r="130" spans="2:13" ht="20.100000000000001" hidden="1" customHeight="1" x14ac:dyDescent="0.15">
      <c r="B130" s="5">
        <v>125</v>
      </c>
      <c r="C130" s="263"/>
      <c r="D130" s="264"/>
      <c r="E130" s="7"/>
      <c r="F130" s="248"/>
      <c r="G130" s="249"/>
      <c r="H130" s="250"/>
      <c r="I130" s="245"/>
      <c r="J130" s="246"/>
      <c r="K130" s="245"/>
      <c r="L130" s="246"/>
      <c r="M130" s="29"/>
    </row>
    <row r="131" spans="2:13" ht="20.100000000000001" hidden="1" customHeight="1" x14ac:dyDescent="0.15">
      <c r="B131" s="5">
        <v>126</v>
      </c>
      <c r="C131" s="263"/>
      <c r="D131" s="264"/>
      <c r="E131" s="7"/>
      <c r="F131" s="248"/>
      <c r="G131" s="249"/>
      <c r="H131" s="250"/>
      <c r="I131" s="245"/>
      <c r="J131" s="246"/>
      <c r="K131" s="245"/>
      <c r="L131" s="246"/>
      <c r="M131" s="29"/>
    </row>
    <row r="132" spans="2:13" ht="20.100000000000001" hidden="1" customHeight="1" x14ac:dyDescent="0.15">
      <c r="B132" s="5">
        <v>127</v>
      </c>
      <c r="C132" s="263"/>
      <c r="D132" s="264"/>
      <c r="E132" s="7"/>
      <c r="F132" s="248"/>
      <c r="G132" s="249"/>
      <c r="H132" s="250"/>
      <c r="I132" s="245"/>
      <c r="J132" s="246"/>
      <c r="K132" s="245"/>
      <c r="L132" s="246"/>
      <c r="M132" s="29"/>
    </row>
    <row r="133" spans="2:13" ht="20.100000000000001" hidden="1" customHeight="1" x14ac:dyDescent="0.15">
      <c r="B133" s="5">
        <v>128</v>
      </c>
      <c r="C133" s="263"/>
      <c r="D133" s="264"/>
      <c r="E133" s="7"/>
      <c r="F133" s="248"/>
      <c r="G133" s="249"/>
      <c r="H133" s="250"/>
      <c r="I133" s="245"/>
      <c r="J133" s="246"/>
      <c r="K133" s="245"/>
      <c r="L133" s="246"/>
      <c r="M133" s="29"/>
    </row>
    <row r="134" spans="2:13" ht="20.100000000000001" hidden="1" customHeight="1" x14ac:dyDescent="0.15">
      <c r="B134" s="5">
        <v>129</v>
      </c>
      <c r="C134" s="263"/>
      <c r="D134" s="264"/>
      <c r="E134" s="7"/>
      <c r="F134" s="248"/>
      <c r="G134" s="249"/>
      <c r="H134" s="250"/>
      <c r="I134" s="245"/>
      <c r="J134" s="246"/>
      <c r="K134" s="245"/>
      <c r="L134" s="246"/>
      <c r="M134" s="29"/>
    </row>
    <row r="135" spans="2:13" ht="20.100000000000001" hidden="1" customHeight="1" x14ac:dyDescent="0.15">
      <c r="B135" s="5">
        <v>130</v>
      </c>
      <c r="C135" s="263"/>
      <c r="D135" s="264"/>
      <c r="E135" s="7"/>
      <c r="F135" s="248"/>
      <c r="G135" s="249"/>
      <c r="H135" s="250"/>
      <c r="I135" s="245"/>
      <c r="J135" s="246"/>
      <c r="K135" s="245"/>
      <c r="L135" s="246"/>
      <c r="M135" s="29"/>
    </row>
    <row r="136" spans="2:13" ht="20.100000000000001" hidden="1" customHeight="1" x14ac:dyDescent="0.15">
      <c r="B136" s="5">
        <v>131</v>
      </c>
      <c r="C136" s="263"/>
      <c r="D136" s="264"/>
      <c r="E136" s="7"/>
      <c r="F136" s="248"/>
      <c r="G136" s="249"/>
      <c r="H136" s="250"/>
      <c r="I136" s="245"/>
      <c r="J136" s="246"/>
      <c r="K136" s="245"/>
      <c r="L136" s="246"/>
      <c r="M136" s="29"/>
    </row>
    <row r="137" spans="2:13" ht="20.100000000000001" hidden="1" customHeight="1" x14ac:dyDescent="0.15">
      <c r="B137" s="5">
        <v>132</v>
      </c>
      <c r="C137" s="263"/>
      <c r="D137" s="264"/>
      <c r="E137" s="7"/>
      <c r="F137" s="248"/>
      <c r="G137" s="249"/>
      <c r="H137" s="250"/>
      <c r="I137" s="245"/>
      <c r="J137" s="246"/>
      <c r="K137" s="245"/>
      <c r="L137" s="246"/>
      <c r="M137" s="29"/>
    </row>
    <row r="138" spans="2:13" ht="20.100000000000001" hidden="1" customHeight="1" x14ac:dyDescent="0.15">
      <c r="B138" s="5">
        <v>133</v>
      </c>
      <c r="C138" s="263"/>
      <c r="D138" s="264"/>
      <c r="E138" s="7"/>
      <c r="F138" s="248"/>
      <c r="G138" s="249"/>
      <c r="H138" s="250"/>
      <c r="I138" s="245"/>
      <c r="J138" s="246"/>
      <c r="K138" s="245"/>
      <c r="L138" s="246"/>
      <c r="M138" s="29"/>
    </row>
    <row r="139" spans="2:13" ht="20.100000000000001" hidden="1" customHeight="1" x14ac:dyDescent="0.15">
      <c r="B139" s="5">
        <v>134</v>
      </c>
      <c r="C139" s="263"/>
      <c r="D139" s="264"/>
      <c r="E139" s="7"/>
      <c r="F139" s="248"/>
      <c r="G139" s="249"/>
      <c r="H139" s="250"/>
      <c r="I139" s="245"/>
      <c r="J139" s="246"/>
      <c r="K139" s="245"/>
      <c r="L139" s="246"/>
      <c r="M139" s="29"/>
    </row>
    <row r="140" spans="2:13" ht="20.100000000000001" hidden="1" customHeight="1" x14ac:dyDescent="0.15">
      <c r="B140" s="5">
        <v>135</v>
      </c>
      <c r="C140" s="263"/>
      <c r="D140" s="264"/>
      <c r="E140" s="7"/>
      <c r="F140" s="248"/>
      <c r="G140" s="249"/>
      <c r="H140" s="250"/>
      <c r="I140" s="245"/>
      <c r="J140" s="246"/>
      <c r="K140" s="245"/>
      <c r="L140" s="246"/>
      <c r="M140" s="29"/>
    </row>
    <row r="141" spans="2:13" ht="20.100000000000001" hidden="1" customHeight="1" x14ac:dyDescent="0.15">
      <c r="B141" s="5">
        <v>136</v>
      </c>
      <c r="C141" s="263"/>
      <c r="D141" s="264"/>
      <c r="E141" s="7"/>
      <c r="F141" s="248"/>
      <c r="G141" s="249"/>
      <c r="H141" s="250"/>
      <c r="I141" s="245"/>
      <c r="J141" s="246"/>
      <c r="K141" s="245"/>
      <c r="L141" s="246"/>
      <c r="M141" s="29"/>
    </row>
    <row r="142" spans="2:13" ht="20.100000000000001" hidden="1" customHeight="1" x14ac:dyDescent="0.15">
      <c r="B142" s="5">
        <v>137</v>
      </c>
      <c r="C142" s="263"/>
      <c r="D142" s="264"/>
      <c r="E142" s="7"/>
      <c r="F142" s="248"/>
      <c r="G142" s="249"/>
      <c r="H142" s="250"/>
      <c r="I142" s="245"/>
      <c r="J142" s="246"/>
      <c r="K142" s="245"/>
      <c r="L142" s="246"/>
      <c r="M142" s="29"/>
    </row>
    <row r="143" spans="2:13" ht="20.100000000000001" hidden="1" customHeight="1" x14ac:dyDescent="0.15">
      <c r="B143" s="5">
        <v>138</v>
      </c>
      <c r="C143" s="263"/>
      <c r="D143" s="264"/>
      <c r="E143" s="7"/>
      <c r="F143" s="248"/>
      <c r="G143" s="249"/>
      <c r="H143" s="250"/>
      <c r="I143" s="245"/>
      <c r="J143" s="246"/>
      <c r="K143" s="245"/>
      <c r="L143" s="246"/>
      <c r="M143" s="29"/>
    </row>
    <row r="144" spans="2:13" ht="20.100000000000001" hidden="1" customHeight="1" x14ac:dyDescent="0.15">
      <c r="B144" s="5">
        <v>139</v>
      </c>
      <c r="C144" s="263"/>
      <c r="D144" s="264"/>
      <c r="E144" s="7"/>
      <c r="F144" s="248"/>
      <c r="G144" s="249"/>
      <c r="H144" s="250"/>
      <c r="I144" s="245"/>
      <c r="J144" s="246"/>
      <c r="K144" s="245"/>
      <c r="L144" s="246"/>
      <c r="M144" s="29"/>
    </row>
    <row r="145" spans="2:13" ht="20.100000000000001" hidden="1" customHeight="1" x14ac:dyDescent="0.15">
      <c r="B145" s="5">
        <v>140</v>
      </c>
      <c r="C145" s="263"/>
      <c r="D145" s="264"/>
      <c r="E145" s="7"/>
      <c r="F145" s="248"/>
      <c r="G145" s="249"/>
      <c r="H145" s="250"/>
      <c r="I145" s="245"/>
      <c r="J145" s="246"/>
      <c r="K145" s="245"/>
      <c r="L145" s="246"/>
      <c r="M145" s="29"/>
    </row>
    <row r="146" spans="2:13" ht="20.100000000000001" hidden="1" customHeight="1" x14ac:dyDescent="0.15">
      <c r="B146" s="5">
        <v>141</v>
      </c>
      <c r="C146" s="263"/>
      <c r="D146" s="264"/>
      <c r="E146" s="7"/>
      <c r="F146" s="248"/>
      <c r="G146" s="249"/>
      <c r="H146" s="250"/>
      <c r="I146" s="245"/>
      <c r="J146" s="246"/>
      <c r="K146" s="245"/>
      <c r="L146" s="246"/>
      <c r="M146" s="29"/>
    </row>
    <row r="147" spans="2:13" ht="20.100000000000001" hidden="1" customHeight="1" x14ac:dyDescent="0.15">
      <c r="B147" s="5">
        <v>142</v>
      </c>
      <c r="C147" s="263"/>
      <c r="D147" s="264"/>
      <c r="E147" s="7"/>
      <c r="F147" s="248"/>
      <c r="G147" s="249"/>
      <c r="H147" s="250"/>
      <c r="I147" s="245"/>
      <c r="J147" s="246"/>
      <c r="K147" s="245"/>
      <c r="L147" s="246"/>
      <c r="M147" s="29"/>
    </row>
    <row r="148" spans="2:13" ht="20.100000000000001" hidden="1" customHeight="1" x14ac:dyDescent="0.15">
      <c r="B148" s="5">
        <v>143</v>
      </c>
      <c r="C148" s="263"/>
      <c r="D148" s="264"/>
      <c r="E148" s="7"/>
      <c r="F148" s="248"/>
      <c r="G148" s="249"/>
      <c r="H148" s="250"/>
      <c r="I148" s="245"/>
      <c r="J148" s="246"/>
      <c r="K148" s="245"/>
      <c r="L148" s="246"/>
      <c r="M148" s="29"/>
    </row>
    <row r="149" spans="2:13" ht="20.100000000000001" hidden="1" customHeight="1" x14ac:dyDescent="0.15">
      <c r="B149" s="5">
        <v>144</v>
      </c>
      <c r="C149" s="263"/>
      <c r="D149" s="264"/>
      <c r="E149" s="7"/>
      <c r="F149" s="248"/>
      <c r="G149" s="249"/>
      <c r="H149" s="250"/>
      <c r="I149" s="245"/>
      <c r="J149" s="246"/>
      <c r="K149" s="245"/>
      <c r="L149" s="246"/>
      <c r="M149" s="29"/>
    </row>
    <row r="150" spans="2:13" ht="20.100000000000001" hidden="1" customHeight="1" x14ac:dyDescent="0.15">
      <c r="B150" s="5">
        <v>145</v>
      </c>
      <c r="C150" s="263"/>
      <c r="D150" s="264"/>
      <c r="E150" s="7"/>
      <c r="F150" s="248"/>
      <c r="G150" s="249"/>
      <c r="H150" s="250"/>
      <c r="I150" s="245"/>
      <c r="J150" s="246"/>
      <c r="K150" s="245"/>
      <c r="L150" s="246"/>
      <c r="M150" s="29"/>
    </row>
    <row r="151" spans="2:13" ht="20.100000000000001" hidden="1" customHeight="1" x14ac:dyDescent="0.15">
      <c r="B151" s="5">
        <v>146</v>
      </c>
      <c r="C151" s="263"/>
      <c r="D151" s="264"/>
      <c r="E151" s="7"/>
      <c r="F151" s="248"/>
      <c r="G151" s="249"/>
      <c r="H151" s="250"/>
      <c r="I151" s="245"/>
      <c r="J151" s="246"/>
      <c r="K151" s="245"/>
      <c r="L151" s="246"/>
      <c r="M151" s="29"/>
    </row>
    <row r="152" spans="2:13" ht="20.100000000000001" hidden="1" customHeight="1" x14ac:dyDescent="0.15">
      <c r="B152" s="5">
        <v>147</v>
      </c>
      <c r="C152" s="263"/>
      <c r="D152" s="264"/>
      <c r="E152" s="7"/>
      <c r="F152" s="248"/>
      <c r="G152" s="249"/>
      <c r="H152" s="250"/>
      <c r="I152" s="245"/>
      <c r="J152" s="246"/>
      <c r="K152" s="245"/>
      <c r="L152" s="246"/>
      <c r="M152" s="29"/>
    </row>
    <row r="153" spans="2:13" ht="20.100000000000001" hidden="1" customHeight="1" x14ac:dyDescent="0.15">
      <c r="B153" s="5">
        <v>148</v>
      </c>
      <c r="C153" s="263"/>
      <c r="D153" s="264"/>
      <c r="E153" s="7"/>
      <c r="F153" s="248"/>
      <c r="G153" s="249"/>
      <c r="H153" s="250"/>
      <c r="I153" s="245"/>
      <c r="J153" s="246"/>
      <c r="K153" s="245"/>
      <c r="L153" s="246"/>
      <c r="M153" s="29"/>
    </row>
    <row r="154" spans="2:13" ht="20.100000000000001" hidden="1" customHeight="1" x14ac:dyDescent="0.15">
      <c r="B154" s="5">
        <v>149</v>
      </c>
      <c r="C154" s="263"/>
      <c r="D154" s="264"/>
      <c r="E154" s="7"/>
      <c r="F154" s="248"/>
      <c r="G154" s="249"/>
      <c r="H154" s="250"/>
      <c r="I154" s="245"/>
      <c r="J154" s="246"/>
      <c r="K154" s="245"/>
      <c r="L154" s="246"/>
      <c r="M154" s="29"/>
    </row>
    <row r="155" spans="2:13" ht="20.100000000000001" hidden="1" customHeight="1" x14ac:dyDescent="0.15">
      <c r="B155" s="5">
        <v>150</v>
      </c>
      <c r="C155" s="263"/>
      <c r="D155" s="264"/>
      <c r="E155" s="7"/>
      <c r="F155" s="248"/>
      <c r="G155" s="249"/>
      <c r="H155" s="250"/>
      <c r="I155" s="245"/>
      <c r="J155" s="246"/>
      <c r="K155" s="245"/>
      <c r="L155" s="246"/>
      <c r="M155" s="29"/>
    </row>
    <row r="156" spans="2:13" ht="20.100000000000001" hidden="1" customHeight="1" x14ac:dyDescent="0.15">
      <c r="B156" s="5">
        <v>151</v>
      </c>
      <c r="C156" s="263"/>
      <c r="D156" s="264"/>
      <c r="E156" s="7"/>
      <c r="F156" s="248"/>
      <c r="G156" s="249"/>
      <c r="H156" s="250"/>
      <c r="I156" s="245"/>
      <c r="J156" s="246"/>
      <c r="K156" s="245"/>
      <c r="L156" s="246"/>
      <c r="M156" s="29"/>
    </row>
    <row r="157" spans="2:13" ht="20.100000000000001" hidden="1" customHeight="1" thickBot="1" x14ac:dyDescent="0.2">
      <c r="B157" s="5">
        <v>152</v>
      </c>
      <c r="C157" s="263"/>
      <c r="D157" s="264"/>
      <c r="E157" s="7"/>
      <c r="F157" s="248"/>
      <c r="G157" s="249"/>
      <c r="H157" s="250"/>
      <c r="I157" s="245"/>
      <c r="J157" s="246"/>
      <c r="K157" s="245"/>
      <c r="L157" s="246"/>
      <c r="M157" s="29"/>
    </row>
    <row r="158" spans="2:13" ht="20.100000000000001" hidden="1" customHeight="1" x14ac:dyDescent="0.15">
      <c r="B158" s="5">
        <v>153</v>
      </c>
      <c r="C158" s="263"/>
      <c r="D158" s="264"/>
      <c r="E158" s="7"/>
      <c r="F158" s="248"/>
      <c r="G158" s="249"/>
      <c r="H158" s="250"/>
      <c r="I158" s="245"/>
      <c r="J158" s="246"/>
      <c r="K158" s="245"/>
      <c r="L158" s="246"/>
      <c r="M158" s="29"/>
    </row>
    <row r="159" spans="2:13" ht="20.100000000000001" hidden="1" customHeight="1" x14ac:dyDescent="0.15">
      <c r="B159" s="5">
        <v>154</v>
      </c>
      <c r="C159" s="263"/>
      <c r="D159" s="264"/>
      <c r="E159" s="7"/>
      <c r="F159" s="248"/>
      <c r="G159" s="249"/>
      <c r="H159" s="250"/>
      <c r="I159" s="245"/>
      <c r="J159" s="246"/>
      <c r="K159" s="245"/>
      <c r="L159" s="246"/>
      <c r="M159" s="29"/>
    </row>
    <row r="160" spans="2:13" ht="20.100000000000001" hidden="1" customHeight="1" x14ac:dyDescent="0.15">
      <c r="B160" s="5">
        <v>155</v>
      </c>
      <c r="C160" s="263"/>
      <c r="D160" s="264"/>
      <c r="E160" s="7"/>
      <c r="F160" s="248"/>
      <c r="G160" s="249"/>
      <c r="H160" s="250"/>
      <c r="I160" s="245"/>
      <c r="J160" s="246"/>
      <c r="K160" s="245"/>
      <c r="L160" s="246"/>
      <c r="M160" s="29"/>
    </row>
    <row r="161" spans="2:13" ht="20.100000000000001" hidden="1" customHeight="1" x14ac:dyDescent="0.15">
      <c r="B161" s="5">
        <v>156</v>
      </c>
      <c r="C161" s="263"/>
      <c r="D161" s="264"/>
      <c r="E161" s="7"/>
      <c r="F161" s="248"/>
      <c r="G161" s="249"/>
      <c r="H161" s="250"/>
      <c r="I161" s="245"/>
      <c r="J161" s="246"/>
      <c r="K161" s="245"/>
      <c r="L161" s="246"/>
      <c r="M161" s="29"/>
    </row>
    <row r="162" spans="2:13" ht="20.100000000000001" hidden="1" customHeight="1" x14ac:dyDescent="0.15">
      <c r="B162" s="5">
        <v>157</v>
      </c>
      <c r="C162" s="263"/>
      <c r="D162" s="264"/>
      <c r="E162" s="7"/>
      <c r="F162" s="248"/>
      <c r="G162" s="249"/>
      <c r="H162" s="250"/>
      <c r="I162" s="245"/>
      <c r="J162" s="246"/>
      <c r="K162" s="245"/>
      <c r="L162" s="246"/>
      <c r="M162" s="29"/>
    </row>
    <row r="163" spans="2:13" ht="20.100000000000001" hidden="1" customHeight="1" x14ac:dyDescent="0.15">
      <c r="B163" s="5">
        <v>158</v>
      </c>
      <c r="C163" s="263"/>
      <c r="D163" s="264"/>
      <c r="E163" s="7"/>
      <c r="F163" s="248"/>
      <c r="G163" s="249"/>
      <c r="H163" s="250"/>
      <c r="I163" s="245"/>
      <c r="J163" s="246"/>
      <c r="K163" s="245"/>
      <c r="L163" s="246"/>
      <c r="M163" s="29"/>
    </row>
    <row r="164" spans="2:13" ht="20.100000000000001" hidden="1" customHeight="1" x14ac:dyDescent="0.15">
      <c r="B164" s="5">
        <v>159</v>
      </c>
      <c r="C164" s="263"/>
      <c r="D164" s="264"/>
      <c r="E164" s="7"/>
      <c r="F164" s="248"/>
      <c r="G164" s="249"/>
      <c r="H164" s="250"/>
      <c r="I164" s="245"/>
      <c r="J164" s="246"/>
      <c r="K164" s="245"/>
      <c r="L164" s="246"/>
      <c r="M164" s="29"/>
    </row>
    <row r="165" spans="2:13" ht="20.100000000000001" hidden="1" customHeight="1" x14ac:dyDescent="0.15">
      <c r="B165" s="5">
        <v>160</v>
      </c>
      <c r="C165" s="263"/>
      <c r="D165" s="264"/>
      <c r="E165" s="7"/>
      <c r="F165" s="248"/>
      <c r="G165" s="249"/>
      <c r="H165" s="250"/>
      <c r="I165" s="245"/>
      <c r="J165" s="246"/>
      <c r="K165" s="245"/>
      <c r="L165" s="246"/>
      <c r="M165" s="29"/>
    </row>
    <row r="166" spans="2:13" ht="20.100000000000001" hidden="1" customHeight="1" x14ac:dyDescent="0.15">
      <c r="B166" s="5">
        <v>161</v>
      </c>
      <c r="C166" s="263"/>
      <c r="D166" s="264"/>
      <c r="E166" s="7"/>
      <c r="F166" s="248"/>
      <c r="G166" s="249"/>
      <c r="H166" s="250"/>
      <c r="I166" s="245"/>
      <c r="J166" s="246"/>
      <c r="K166" s="245"/>
      <c r="L166" s="246"/>
      <c r="M166" s="29"/>
    </row>
    <row r="167" spans="2:13" ht="20.100000000000001" hidden="1" customHeight="1" x14ac:dyDescent="0.15">
      <c r="B167" s="5">
        <v>162</v>
      </c>
      <c r="C167" s="263"/>
      <c r="D167" s="264"/>
      <c r="E167" s="7"/>
      <c r="F167" s="248"/>
      <c r="G167" s="249"/>
      <c r="H167" s="250"/>
      <c r="I167" s="245"/>
      <c r="J167" s="246"/>
      <c r="K167" s="245"/>
      <c r="L167" s="246"/>
      <c r="M167" s="29"/>
    </row>
    <row r="168" spans="2:13" ht="20.100000000000001" hidden="1" customHeight="1" x14ac:dyDescent="0.15">
      <c r="B168" s="5">
        <v>163</v>
      </c>
      <c r="C168" s="263"/>
      <c r="D168" s="264"/>
      <c r="E168" s="7"/>
      <c r="F168" s="248"/>
      <c r="G168" s="249"/>
      <c r="H168" s="250"/>
      <c r="I168" s="245"/>
      <c r="J168" s="246"/>
      <c r="K168" s="245"/>
      <c r="L168" s="246"/>
      <c r="M168" s="29"/>
    </row>
    <row r="169" spans="2:13" ht="20.100000000000001" hidden="1" customHeight="1" x14ac:dyDescent="0.15">
      <c r="B169" s="5">
        <v>164</v>
      </c>
      <c r="C169" s="263"/>
      <c r="D169" s="264"/>
      <c r="E169" s="7"/>
      <c r="F169" s="248"/>
      <c r="G169" s="249"/>
      <c r="H169" s="250"/>
      <c r="I169" s="245"/>
      <c r="J169" s="246"/>
      <c r="K169" s="245"/>
      <c r="L169" s="246"/>
      <c r="M169" s="29"/>
    </row>
    <row r="170" spans="2:13" ht="20.100000000000001" hidden="1" customHeight="1" x14ac:dyDescent="0.15">
      <c r="B170" s="5">
        <v>165</v>
      </c>
      <c r="C170" s="263"/>
      <c r="D170" s="264"/>
      <c r="E170" s="7"/>
      <c r="F170" s="248"/>
      <c r="G170" s="249"/>
      <c r="H170" s="250"/>
      <c r="I170" s="245"/>
      <c r="J170" s="246"/>
      <c r="K170" s="245"/>
      <c r="L170" s="246"/>
      <c r="M170" s="29"/>
    </row>
    <row r="171" spans="2:13" ht="20.100000000000001" hidden="1" customHeight="1" x14ac:dyDescent="0.15">
      <c r="B171" s="5">
        <v>166</v>
      </c>
      <c r="C171" s="263"/>
      <c r="D171" s="264"/>
      <c r="E171" s="7"/>
      <c r="F171" s="248"/>
      <c r="G171" s="249"/>
      <c r="H171" s="250"/>
      <c r="I171" s="245"/>
      <c r="J171" s="246"/>
      <c r="K171" s="245"/>
      <c r="L171" s="246"/>
      <c r="M171" s="29"/>
    </row>
    <row r="172" spans="2:13" ht="20.100000000000001" hidden="1" customHeight="1" x14ac:dyDescent="0.15">
      <c r="B172" s="5">
        <v>167</v>
      </c>
      <c r="C172" s="263"/>
      <c r="D172" s="264"/>
      <c r="E172" s="7"/>
      <c r="F172" s="248"/>
      <c r="G172" s="249"/>
      <c r="H172" s="250"/>
      <c r="I172" s="245"/>
      <c r="J172" s="246"/>
      <c r="K172" s="245"/>
      <c r="L172" s="246"/>
      <c r="M172" s="29"/>
    </row>
    <row r="173" spans="2:13" ht="20.100000000000001" hidden="1" customHeight="1" x14ac:dyDescent="0.15">
      <c r="B173" s="5">
        <v>168</v>
      </c>
      <c r="C173" s="263"/>
      <c r="D173" s="264"/>
      <c r="E173" s="7"/>
      <c r="F173" s="248"/>
      <c r="G173" s="249"/>
      <c r="H173" s="250"/>
      <c r="I173" s="245"/>
      <c r="J173" s="246"/>
      <c r="K173" s="245"/>
      <c r="L173" s="246"/>
      <c r="M173" s="29"/>
    </row>
    <row r="174" spans="2:13" ht="20.100000000000001" hidden="1" customHeight="1" x14ac:dyDescent="0.15">
      <c r="B174" s="5">
        <v>169</v>
      </c>
      <c r="C174" s="263"/>
      <c r="D174" s="264"/>
      <c r="E174" s="7"/>
      <c r="F174" s="248"/>
      <c r="G174" s="249"/>
      <c r="H174" s="250"/>
      <c r="I174" s="245"/>
      <c r="J174" s="246"/>
      <c r="K174" s="245"/>
      <c r="L174" s="246"/>
      <c r="M174" s="29"/>
    </row>
    <row r="175" spans="2:13" ht="20.100000000000001" hidden="1" customHeight="1" x14ac:dyDescent="0.15">
      <c r="B175" s="5">
        <v>170</v>
      </c>
      <c r="C175" s="263"/>
      <c r="D175" s="264"/>
      <c r="E175" s="7"/>
      <c r="F175" s="248"/>
      <c r="G175" s="249"/>
      <c r="H175" s="250"/>
      <c r="I175" s="245"/>
      <c r="J175" s="246"/>
      <c r="K175" s="245"/>
      <c r="L175" s="246"/>
      <c r="M175" s="29"/>
    </row>
    <row r="176" spans="2:13" ht="20.100000000000001" hidden="1" customHeight="1" x14ac:dyDescent="0.15">
      <c r="B176" s="5">
        <v>171</v>
      </c>
      <c r="C176" s="263"/>
      <c r="D176" s="264"/>
      <c r="E176" s="7"/>
      <c r="F176" s="248"/>
      <c r="G176" s="249"/>
      <c r="H176" s="250"/>
      <c r="I176" s="245"/>
      <c r="J176" s="246"/>
      <c r="K176" s="245"/>
      <c r="L176" s="246"/>
      <c r="M176" s="29"/>
    </row>
    <row r="177" spans="2:13" ht="20.100000000000001" hidden="1" customHeight="1" x14ac:dyDescent="0.15">
      <c r="B177" s="5">
        <v>172</v>
      </c>
      <c r="C177" s="263"/>
      <c r="D177" s="264"/>
      <c r="E177" s="7"/>
      <c r="F177" s="248"/>
      <c r="G177" s="249"/>
      <c r="H177" s="250"/>
      <c r="I177" s="245"/>
      <c r="J177" s="246"/>
      <c r="K177" s="245"/>
      <c r="L177" s="246"/>
      <c r="M177" s="29"/>
    </row>
    <row r="178" spans="2:13" ht="20.100000000000001" hidden="1" customHeight="1" x14ac:dyDescent="0.15">
      <c r="B178" s="5">
        <v>173</v>
      </c>
      <c r="C178" s="263"/>
      <c r="D178" s="264"/>
      <c r="E178" s="7"/>
      <c r="F178" s="248"/>
      <c r="G178" s="249"/>
      <c r="H178" s="250"/>
      <c r="I178" s="245"/>
      <c r="J178" s="246"/>
      <c r="K178" s="245"/>
      <c r="L178" s="246"/>
      <c r="M178" s="29"/>
    </row>
    <row r="179" spans="2:13" ht="20.100000000000001" hidden="1" customHeight="1" x14ac:dyDescent="0.15">
      <c r="B179" s="5">
        <v>174</v>
      </c>
      <c r="C179" s="263"/>
      <c r="D179" s="264"/>
      <c r="E179" s="7"/>
      <c r="F179" s="248"/>
      <c r="G179" s="249"/>
      <c r="H179" s="250"/>
      <c r="I179" s="245"/>
      <c r="J179" s="246"/>
      <c r="K179" s="245"/>
      <c r="L179" s="246"/>
      <c r="M179" s="29"/>
    </row>
    <row r="180" spans="2:13" ht="20.100000000000001" hidden="1" customHeight="1" x14ac:dyDescent="0.15">
      <c r="B180" s="5">
        <v>175</v>
      </c>
      <c r="C180" s="263"/>
      <c r="D180" s="264"/>
      <c r="E180" s="7"/>
      <c r="F180" s="248"/>
      <c r="G180" s="249"/>
      <c r="H180" s="250"/>
      <c r="I180" s="245"/>
      <c r="J180" s="246"/>
      <c r="K180" s="245"/>
      <c r="L180" s="246"/>
      <c r="M180" s="29"/>
    </row>
    <row r="181" spans="2:13" ht="20.100000000000001" hidden="1" customHeight="1" x14ac:dyDescent="0.15">
      <c r="B181" s="5">
        <v>176</v>
      </c>
      <c r="C181" s="263"/>
      <c r="D181" s="264"/>
      <c r="E181" s="7"/>
      <c r="F181" s="248"/>
      <c r="G181" s="249"/>
      <c r="H181" s="250"/>
      <c r="I181" s="245"/>
      <c r="J181" s="246"/>
      <c r="K181" s="245"/>
      <c r="L181" s="246"/>
      <c r="M181" s="29"/>
    </row>
    <row r="182" spans="2:13" ht="20.100000000000001" hidden="1" customHeight="1" x14ac:dyDescent="0.15">
      <c r="B182" s="5">
        <v>177</v>
      </c>
      <c r="C182" s="263"/>
      <c r="D182" s="264"/>
      <c r="E182" s="7"/>
      <c r="F182" s="248"/>
      <c r="G182" s="249"/>
      <c r="H182" s="250"/>
      <c r="I182" s="245"/>
      <c r="J182" s="246"/>
      <c r="K182" s="245"/>
      <c r="L182" s="246"/>
      <c r="M182" s="29"/>
    </row>
    <row r="183" spans="2:13" ht="20.100000000000001" hidden="1" customHeight="1" x14ac:dyDescent="0.15">
      <c r="B183" s="5">
        <v>178</v>
      </c>
      <c r="C183" s="263"/>
      <c r="D183" s="264"/>
      <c r="E183" s="7"/>
      <c r="F183" s="248"/>
      <c r="G183" s="249"/>
      <c r="H183" s="250"/>
      <c r="I183" s="245"/>
      <c r="J183" s="246"/>
      <c r="K183" s="245"/>
      <c r="L183" s="246"/>
      <c r="M183" s="29"/>
    </row>
    <row r="184" spans="2:13" ht="20.100000000000001" hidden="1" customHeight="1" x14ac:dyDescent="0.15">
      <c r="B184" s="5">
        <v>179</v>
      </c>
      <c r="C184" s="263"/>
      <c r="D184" s="264"/>
      <c r="E184" s="7"/>
      <c r="F184" s="248"/>
      <c r="G184" s="249"/>
      <c r="H184" s="250"/>
      <c r="I184" s="245"/>
      <c r="J184" s="246"/>
      <c r="K184" s="245"/>
      <c r="L184" s="246"/>
      <c r="M184" s="29"/>
    </row>
    <row r="185" spans="2:13" ht="20.100000000000001" hidden="1" customHeight="1" x14ac:dyDescent="0.15">
      <c r="B185" s="5">
        <v>180</v>
      </c>
      <c r="C185" s="263"/>
      <c r="D185" s="264"/>
      <c r="E185" s="7"/>
      <c r="F185" s="248"/>
      <c r="G185" s="249"/>
      <c r="H185" s="250"/>
      <c r="I185" s="245"/>
      <c r="J185" s="246"/>
      <c r="K185" s="245"/>
      <c r="L185" s="246"/>
      <c r="M185" s="29"/>
    </row>
    <row r="186" spans="2:13" ht="20.100000000000001" hidden="1" customHeight="1" x14ac:dyDescent="0.15">
      <c r="B186" s="5">
        <v>181</v>
      </c>
      <c r="C186" s="263"/>
      <c r="D186" s="264"/>
      <c r="E186" s="7"/>
      <c r="F186" s="248"/>
      <c r="G186" s="249"/>
      <c r="H186" s="250"/>
      <c r="I186" s="245"/>
      <c r="J186" s="246"/>
      <c r="K186" s="245"/>
      <c r="L186" s="246"/>
      <c r="M186" s="29"/>
    </row>
    <row r="187" spans="2:13" ht="20.100000000000001" hidden="1" customHeight="1" x14ac:dyDescent="0.15">
      <c r="B187" s="5">
        <v>182</v>
      </c>
      <c r="C187" s="263"/>
      <c r="D187" s="264"/>
      <c r="E187" s="7"/>
      <c r="F187" s="248"/>
      <c r="G187" s="249"/>
      <c r="H187" s="250"/>
      <c r="I187" s="245"/>
      <c r="J187" s="246"/>
      <c r="K187" s="245"/>
      <c r="L187" s="246"/>
      <c r="M187" s="29"/>
    </row>
    <row r="188" spans="2:13" ht="20.100000000000001" hidden="1" customHeight="1" x14ac:dyDescent="0.15">
      <c r="B188" s="5">
        <v>183</v>
      </c>
      <c r="C188" s="263"/>
      <c r="D188" s="264"/>
      <c r="E188" s="7"/>
      <c r="F188" s="248"/>
      <c r="G188" s="249"/>
      <c r="H188" s="250"/>
      <c r="I188" s="245"/>
      <c r="J188" s="246"/>
      <c r="K188" s="245"/>
      <c r="L188" s="246"/>
      <c r="M188" s="29"/>
    </row>
    <row r="189" spans="2:13" ht="20.100000000000001" hidden="1" customHeight="1" x14ac:dyDescent="0.15">
      <c r="B189" s="5">
        <v>184</v>
      </c>
      <c r="C189" s="263"/>
      <c r="D189" s="264"/>
      <c r="E189" s="7"/>
      <c r="F189" s="248"/>
      <c r="G189" s="249"/>
      <c r="H189" s="250"/>
      <c r="I189" s="245"/>
      <c r="J189" s="246"/>
      <c r="K189" s="245"/>
      <c r="L189" s="246"/>
      <c r="M189" s="29"/>
    </row>
    <row r="190" spans="2:13" ht="20.100000000000001" hidden="1" customHeight="1" x14ac:dyDescent="0.15">
      <c r="B190" s="5">
        <v>185</v>
      </c>
      <c r="C190" s="263"/>
      <c r="D190" s="264"/>
      <c r="E190" s="7"/>
      <c r="F190" s="248"/>
      <c r="G190" s="249"/>
      <c r="H190" s="250"/>
      <c r="I190" s="245"/>
      <c r="J190" s="246"/>
      <c r="K190" s="245"/>
      <c r="L190" s="246"/>
      <c r="M190" s="29"/>
    </row>
    <row r="191" spans="2:13" ht="20.100000000000001" hidden="1" customHeight="1" x14ac:dyDescent="0.15">
      <c r="B191" s="5">
        <v>186</v>
      </c>
      <c r="C191" s="263"/>
      <c r="D191" s="264"/>
      <c r="E191" s="7"/>
      <c r="F191" s="248"/>
      <c r="G191" s="249"/>
      <c r="H191" s="250"/>
      <c r="I191" s="245"/>
      <c r="J191" s="246"/>
      <c r="K191" s="245"/>
      <c r="L191" s="246"/>
      <c r="M191" s="29"/>
    </row>
    <row r="192" spans="2:13" ht="20.100000000000001" hidden="1" customHeight="1" x14ac:dyDescent="0.15">
      <c r="B192" s="5">
        <v>187</v>
      </c>
      <c r="C192" s="263"/>
      <c r="D192" s="264"/>
      <c r="E192" s="7"/>
      <c r="F192" s="248"/>
      <c r="G192" s="249"/>
      <c r="H192" s="250"/>
      <c r="I192" s="245"/>
      <c r="J192" s="246"/>
      <c r="K192" s="245"/>
      <c r="L192" s="246"/>
      <c r="M192" s="29"/>
    </row>
    <row r="193" spans="2:13" ht="20.100000000000001" hidden="1" customHeight="1" x14ac:dyDescent="0.15">
      <c r="B193" s="5">
        <v>188</v>
      </c>
      <c r="C193" s="263"/>
      <c r="D193" s="264"/>
      <c r="E193" s="7"/>
      <c r="F193" s="248"/>
      <c r="G193" s="249"/>
      <c r="H193" s="250"/>
      <c r="I193" s="245"/>
      <c r="J193" s="246"/>
      <c r="K193" s="245"/>
      <c r="L193" s="246"/>
      <c r="M193" s="29"/>
    </row>
    <row r="194" spans="2:13" ht="20.100000000000001" hidden="1" customHeight="1" x14ac:dyDescent="0.15">
      <c r="B194" s="5">
        <v>189</v>
      </c>
      <c r="C194" s="263"/>
      <c r="D194" s="264"/>
      <c r="E194" s="7"/>
      <c r="F194" s="248"/>
      <c r="G194" s="249"/>
      <c r="H194" s="250"/>
      <c r="I194" s="245"/>
      <c r="J194" s="246"/>
      <c r="K194" s="245"/>
      <c r="L194" s="246"/>
      <c r="M194" s="29"/>
    </row>
    <row r="195" spans="2:13" ht="20.100000000000001" hidden="1" customHeight="1" x14ac:dyDescent="0.15">
      <c r="B195" s="5">
        <v>190</v>
      </c>
      <c r="C195" s="263"/>
      <c r="D195" s="264"/>
      <c r="E195" s="7"/>
      <c r="F195" s="248"/>
      <c r="G195" s="249"/>
      <c r="H195" s="250"/>
      <c r="I195" s="245"/>
      <c r="J195" s="246"/>
      <c r="K195" s="245"/>
      <c r="L195" s="246"/>
      <c r="M195" s="29"/>
    </row>
    <row r="196" spans="2:13" ht="20.100000000000001" hidden="1" customHeight="1" x14ac:dyDescent="0.15">
      <c r="B196" s="5">
        <v>191</v>
      </c>
      <c r="C196" s="263"/>
      <c r="D196" s="264"/>
      <c r="E196" s="7"/>
      <c r="F196" s="248"/>
      <c r="G196" s="249"/>
      <c r="H196" s="250"/>
      <c r="I196" s="245"/>
      <c r="J196" s="246"/>
      <c r="K196" s="245"/>
      <c r="L196" s="246"/>
      <c r="M196" s="29"/>
    </row>
    <row r="197" spans="2:13" ht="20.100000000000001" hidden="1" customHeight="1" x14ac:dyDescent="0.15">
      <c r="B197" s="5">
        <v>192</v>
      </c>
      <c r="C197" s="263"/>
      <c r="D197" s="264"/>
      <c r="E197" s="7"/>
      <c r="F197" s="248"/>
      <c r="G197" s="249"/>
      <c r="H197" s="250"/>
      <c r="I197" s="245"/>
      <c r="J197" s="246"/>
      <c r="K197" s="245"/>
      <c r="L197" s="246"/>
      <c r="M197" s="29"/>
    </row>
    <row r="198" spans="2:13" ht="20.100000000000001" hidden="1" customHeight="1" x14ac:dyDescent="0.15">
      <c r="B198" s="5">
        <v>193</v>
      </c>
      <c r="C198" s="263"/>
      <c r="D198" s="264"/>
      <c r="E198" s="7"/>
      <c r="F198" s="248"/>
      <c r="G198" s="249"/>
      <c r="H198" s="250"/>
      <c r="I198" s="245"/>
      <c r="J198" s="246"/>
      <c r="K198" s="245"/>
      <c r="L198" s="246"/>
      <c r="M198" s="29"/>
    </row>
    <row r="199" spans="2:13" ht="20.100000000000001" hidden="1" customHeight="1" x14ac:dyDescent="0.15">
      <c r="B199" s="5">
        <v>194</v>
      </c>
      <c r="C199" s="263"/>
      <c r="D199" s="264"/>
      <c r="E199" s="7"/>
      <c r="F199" s="248"/>
      <c r="G199" s="249"/>
      <c r="H199" s="250"/>
      <c r="I199" s="245"/>
      <c r="J199" s="246"/>
      <c r="K199" s="245"/>
      <c r="L199" s="246"/>
      <c r="M199" s="29"/>
    </row>
    <row r="200" spans="2:13" ht="20.100000000000001" hidden="1" customHeight="1" x14ac:dyDescent="0.15">
      <c r="B200" s="5">
        <v>195</v>
      </c>
      <c r="C200" s="263"/>
      <c r="D200" s="264"/>
      <c r="E200" s="7"/>
      <c r="F200" s="248"/>
      <c r="G200" s="249"/>
      <c r="H200" s="250"/>
      <c r="I200" s="245"/>
      <c r="J200" s="246"/>
      <c r="K200" s="245"/>
      <c r="L200" s="246"/>
      <c r="M200" s="29"/>
    </row>
    <row r="201" spans="2:13" ht="20.100000000000001" hidden="1" customHeight="1" x14ac:dyDescent="0.15">
      <c r="B201" s="5">
        <v>196</v>
      </c>
      <c r="C201" s="263"/>
      <c r="D201" s="264"/>
      <c r="E201" s="7"/>
      <c r="F201" s="248"/>
      <c r="G201" s="249"/>
      <c r="H201" s="250"/>
      <c r="I201" s="245"/>
      <c r="J201" s="246"/>
      <c r="K201" s="245"/>
      <c r="L201" s="246"/>
      <c r="M201" s="29"/>
    </row>
    <row r="202" spans="2:13" ht="20.100000000000001" hidden="1" customHeight="1" x14ac:dyDescent="0.15">
      <c r="B202" s="5">
        <v>197</v>
      </c>
      <c r="C202" s="263"/>
      <c r="D202" s="264"/>
      <c r="E202" s="7"/>
      <c r="F202" s="248"/>
      <c r="G202" s="249"/>
      <c r="H202" s="250"/>
      <c r="I202" s="245"/>
      <c r="J202" s="246"/>
      <c r="K202" s="245"/>
      <c r="L202" s="246"/>
      <c r="M202" s="29"/>
    </row>
    <row r="203" spans="2:13" ht="20.100000000000001" hidden="1" customHeight="1" x14ac:dyDescent="0.15">
      <c r="B203" s="5">
        <v>198</v>
      </c>
      <c r="C203" s="263"/>
      <c r="D203" s="264"/>
      <c r="E203" s="7"/>
      <c r="F203" s="248"/>
      <c r="G203" s="249"/>
      <c r="H203" s="250"/>
      <c r="I203" s="245"/>
      <c r="J203" s="246"/>
      <c r="K203" s="245"/>
      <c r="L203" s="246"/>
      <c r="M203" s="29"/>
    </row>
    <row r="204" spans="2:13" ht="20.100000000000001" hidden="1" customHeight="1" x14ac:dyDescent="0.15">
      <c r="B204" s="5">
        <v>199</v>
      </c>
      <c r="C204" s="263"/>
      <c r="D204" s="264"/>
      <c r="E204" s="7"/>
      <c r="F204" s="248"/>
      <c r="G204" s="249"/>
      <c r="H204" s="250"/>
      <c r="I204" s="245"/>
      <c r="J204" s="246"/>
      <c r="K204" s="245"/>
      <c r="L204" s="246"/>
      <c r="M204" s="29"/>
    </row>
    <row r="205" spans="2:13" ht="20.100000000000001" hidden="1" customHeight="1" x14ac:dyDescent="0.15">
      <c r="B205" s="5">
        <v>200</v>
      </c>
      <c r="C205" s="263"/>
      <c r="D205" s="264"/>
      <c r="E205" s="7"/>
      <c r="F205" s="248"/>
      <c r="G205" s="249"/>
      <c r="H205" s="250"/>
      <c r="I205" s="245"/>
      <c r="J205" s="246"/>
      <c r="K205" s="245"/>
      <c r="L205" s="246"/>
      <c r="M205" s="29"/>
    </row>
    <row r="206" spans="2:13" ht="20.100000000000001" hidden="1" customHeight="1" x14ac:dyDescent="0.15">
      <c r="B206" s="5">
        <v>201</v>
      </c>
      <c r="C206" s="263"/>
      <c r="D206" s="264"/>
      <c r="E206" s="7"/>
      <c r="F206" s="248"/>
      <c r="G206" s="249"/>
      <c r="H206" s="250"/>
      <c r="I206" s="245"/>
      <c r="J206" s="246"/>
      <c r="K206" s="245"/>
      <c r="L206" s="246"/>
      <c r="M206" s="29"/>
    </row>
    <row r="207" spans="2:13" ht="20.100000000000001" hidden="1" customHeight="1" x14ac:dyDescent="0.15">
      <c r="B207" s="5">
        <v>202</v>
      </c>
      <c r="C207" s="263"/>
      <c r="D207" s="264"/>
      <c r="E207" s="7"/>
      <c r="F207" s="248"/>
      <c r="G207" s="249"/>
      <c r="H207" s="250"/>
      <c r="I207" s="245"/>
      <c r="J207" s="246"/>
      <c r="K207" s="245"/>
      <c r="L207" s="246"/>
      <c r="M207" s="29"/>
    </row>
    <row r="208" spans="2:13" ht="20.100000000000001" hidden="1" customHeight="1" x14ac:dyDescent="0.15">
      <c r="B208" s="5">
        <v>203</v>
      </c>
      <c r="C208" s="263"/>
      <c r="D208" s="264"/>
      <c r="E208" s="7"/>
      <c r="F208" s="248"/>
      <c r="G208" s="249"/>
      <c r="H208" s="250"/>
      <c r="I208" s="245"/>
      <c r="J208" s="246"/>
      <c r="K208" s="245"/>
      <c r="L208" s="246"/>
      <c r="M208" s="29"/>
    </row>
    <row r="209" spans="2:13" ht="20.100000000000001" hidden="1" customHeight="1" x14ac:dyDescent="0.15">
      <c r="B209" s="5">
        <v>204</v>
      </c>
      <c r="C209" s="263"/>
      <c r="D209" s="264"/>
      <c r="E209" s="7"/>
      <c r="F209" s="248"/>
      <c r="G209" s="249"/>
      <c r="H209" s="250"/>
      <c r="I209" s="245"/>
      <c r="J209" s="246"/>
      <c r="K209" s="245"/>
      <c r="L209" s="246"/>
      <c r="M209" s="29"/>
    </row>
    <row r="210" spans="2:13" ht="20.100000000000001" hidden="1" customHeight="1" x14ac:dyDescent="0.15">
      <c r="B210" s="5">
        <v>205</v>
      </c>
      <c r="C210" s="263"/>
      <c r="D210" s="264"/>
      <c r="E210" s="7"/>
      <c r="F210" s="248"/>
      <c r="G210" s="249"/>
      <c r="H210" s="250"/>
      <c r="I210" s="245"/>
      <c r="J210" s="246"/>
      <c r="K210" s="245"/>
      <c r="L210" s="246"/>
      <c r="M210" s="29"/>
    </row>
    <row r="211" spans="2:13" ht="20.100000000000001" hidden="1" customHeight="1" x14ac:dyDescent="0.15">
      <c r="B211" s="5">
        <v>206</v>
      </c>
      <c r="C211" s="263"/>
      <c r="D211" s="264"/>
      <c r="E211" s="7"/>
      <c r="F211" s="248"/>
      <c r="G211" s="249"/>
      <c r="H211" s="250"/>
      <c r="I211" s="245"/>
      <c r="J211" s="246"/>
      <c r="K211" s="245"/>
      <c r="L211" s="246"/>
      <c r="M211" s="29"/>
    </row>
    <row r="212" spans="2:13" ht="20.100000000000001" hidden="1" customHeight="1" x14ac:dyDescent="0.15">
      <c r="B212" s="5">
        <v>207</v>
      </c>
      <c r="C212" s="263"/>
      <c r="D212" s="264"/>
      <c r="E212" s="7"/>
      <c r="F212" s="248"/>
      <c r="G212" s="249"/>
      <c r="H212" s="250"/>
      <c r="I212" s="245"/>
      <c r="J212" s="246"/>
      <c r="K212" s="245"/>
      <c r="L212" s="246"/>
      <c r="M212" s="29"/>
    </row>
    <row r="213" spans="2:13" ht="20.100000000000001" hidden="1" customHeight="1" x14ac:dyDescent="0.15">
      <c r="B213" s="5">
        <v>208</v>
      </c>
      <c r="C213" s="263"/>
      <c r="D213" s="264"/>
      <c r="E213" s="7"/>
      <c r="F213" s="248"/>
      <c r="G213" s="249"/>
      <c r="H213" s="250"/>
      <c r="I213" s="245"/>
      <c r="J213" s="246"/>
      <c r="K213" s="245"/>
      <c r="L213" s="246"/>
      <c r="M213" s="29"/>
    </row>
    <row r="214" spans="2:13" ht="20.100000000000001" hidden="1" customHeight="1" x14ac:dyDescent="0.15">
      <c r="B214" s="5">
        <v>209</v>
      </c>
      <c r="C214" s="263"/>
      <c r="D214" s="264"/>
      <c r="E214" s="7"/>
      <c r="F214" s="248"/>
      <c r="G214" s="249"/>
      <c r="H214" s="250"/>
      <c r="I214" s="245"/>
      <c r="J214" s="246"/>
      <c r="K214" s="245"/>
      <c r="L214" s="246"/>
      <c r="M214" s="29"/>
    </row>
    <row r="215" spans="2:13" ht="20.100000000000001" hidden="1" customHeight="1" x14ac:dyDescent="0.15">
      <c r="B215" s="5">
        <v>210</v>
      </c>
      <c r="C215" s="263"/>
      <c r="D215" s="264"/>
      <c r="E215" s="7"/>
      <c r="F215" s="248"/>
      <c r="G215" s="249"/>
      <c r="H215" s="250"/>
      <c r="I215" s="245"/>
      <c r="J215" s="246"/>
      <c r="K215" s="245"/>
      <c r="L215" s="246"/>
      <c r="M215" s="29"/>
    </row>
    <row r="216" spans="2:13" ht="20.100000000000001" hidden="1" customHeight="1" x14ac:dyDescent="0.15">
      <c r="B216" s="5">
        <v>211</v>
      </c>
      <c r="C216" s="263"/>
      <c r="D216" s="264"/>
      <c r="E216" s="7"/>
      <c r="F216" s="248"/>
      <c r="G216" s="249"/>
      <c r="H216" s="250"/>
      <c r="I216" s="245"/>
      <c r="J216" s="246"/>
      <c r="K216" s="245"/>
      <c r="L216" s="246"/>
      <c r="M216" s="29"/>
    </row>
    <row r="217" spans="2:13" ht="20.100000000000001" hidden="1" customHeight="1" x14ac:dyDescent="0.15">
      <c r="B217" s="5">
        <v>212</v>
      </c>
      <c r="C217" s="263"/>
      <c r="D217" s="264"/>
      <c r="E217" s="7"/>
      <c r="F217" s="248"/>
      <c r="G217" s="249"/>
      <c r="H217" s="250"/>
      <c r="I217" s="245"/>
      <c r="J217" s="246"/>
      <c r="K217" s="245"/>
      <c r="L217" s="246"/>
      <c r="M217" s="29"/>
    </row>
    <row r="218" spans="2:13" ht="20.100000000000001" hidden="1" customHeight="1" x14ac:dyDescent="0.15">
      <c r="B218" s="5">
        <v>213</v>
      </c>
      <c r="C218" s="263"/>
      <c r="D218" s="264"/>
      <c r="E218" s="7"/>
      <c r="F218" s="248"/>
      <c r="G218" s="249"/>
      <c r="H218" s="250"/>
      <c r="I218" s="245"/>
      <c r="J218" s="246"/>
      <c r="K218" s="245"/>
      <c r="L218" s="246"/>
      <c r="M218" s="29"/>
    </row>
    <row r="219" spans="2:13" ht="20.100000000000001" hidden="1" customHeight="1" x14ac:dyDescent="0.15">
      <c r="B219" s="5">
        <v>214</v>
      </c>
      <c r="C219" s="263"/>
      <c r="D219" s="264"/>
      <c r="E219" s="7"/>
      <c r="F219" s="248"/>
      <c r="G219" s="249"/>
      <c r="H219" s="250"/>
      <c r="I219" s="245"/>
      <c r="J219" s="246"/>
      <c r="K219" s="245"/>
      <c r="L219" s="246"/>
      <c r="M219" s="29"/>
    </row>
    <row r="220" spans="2:13" ht="20.100000000000001" hidden="1" customHeight="1" x14ac:dyDescent="0.15">
      <c r="B220" s="5">
        <v>215</v>
      </c>
      <c r="C220" s="263"/>
      <c r="D220" s="264"/>
      <c r="E220" s="7"/>
      <c r="F220" s="248"/>
      <c r="G220" s="249"/>
      <c r="H220" s="250"/>
      <c r="I220" s="245"/>
      <c r="J220" s="246"/>
      <c r="K220" s="245"/>
      <c r="L220" s="246"/>
      <c r="M220" s="29"/>
    </row>
    <row r="221" spans="2:13" ht="20.100000000000001" hidden="1" customHeight="1" x14ac:dyDescent="0.15">
      <c r="B221" s="5">
        <v>216</v>
      </c>
      <c r="C221" s="263"/>
      <c r="D221" s="264"/>
      <c r="E221" s="7"/>
      <c r="F221" s="248"/>
      <c r="G221" s="249"/>
      <c r="H221" s="250"/>
      <c r="I221" s="245"/>
      <c r="J221" s="246"/>
      <c r="K221" s="245"/>
      <c r="L221" s="246"/>
      <c r="M221" s="29"/>
    </row>
    <row r="222" spans="2:13" ht="20.100000000000001" hidden="1" customHeight="1" x14ac:dyDescent="0.15">
      <c r="B222" s="5">
        <v>217</v>
      </c>
      <c r="C222" s="263"/>
      <c r="D222" s="264"/>
      <c r="E222" s="7"/>
      <c r="F222" s="248"/>
      <c r="G222" s="249"/>
      <c r="H222" s="250"/>
      <c r="I222" s="245"/>
      <c r="J222" s="246"/>
      <c r="K222" s="245"/>
      <c r="L222" s="246"/>
      <c r="M222" s="29"/>
    </row>
    <row r="223" spans="2:13" ht="20.100000000000001" hidden="1" customHeight="1" x14ac:dyDescent="0.15">
      <c r="B223" s="5">
        <v>218</v>
      </c>
      <c r="C223" s="263"/>
      <c r="D223" s="264"/>
      <c r="E223" s="7"/>
      <c r="F223" s="248"/>
      <c r="G223" s="249"/>
      <c r="H223" s="250"/>
      <c r="I223" s="245"/>
      <c r="J223" s="246"/>
      <c r="K223" s="245"/>
      <c r="L223" s="246"/>
      <c r="M223" s="29"/>
    </row>
    <row r="224" spans="2:13" ht="20.100000000000001" hidden="1" customHeight="1" x14ac:dyDescent="0.15">
      <c r="B224" s="5">
        <v>219</v>
      </c>
      <c r="C224" s="263"/>
      <c r="D224" s="264"/>
      <c r="E224" s="7"/>
      <c r="F224" s="248"/>
      <c r="G224" s="249"/>
      <c r="H224" s="250"/>
      <c r="I224" s="245"/>
      <c r="J224" s="246"/>
      <c r="K224" s="245"/>
      <c r="L224" s="246"/>
      <c r="M224" s="29"/>
    </row>
    <row r="225" spans="2:13" ht="20.100000000000001" hidden="1" customHeight="1" x14ac:dyDescent="0.15">
      <c r="B225" s="5">
        <v>220</v>
      </c>
      <c r="C225" s="263"/>
      <c r="D225" s="264"/>
      <c r="E225" s="7"/>
      <c r="F225" s="248"/>
      <c r="G225" s="249"/>
      <c r="H225" s="250"/>
      <c r="I225" s="245"/>
      <c r="J225" s="246"/>
      <c r="K225" s="245"/>
      <c r="L225" s="246"/>
      <c r="M225" s="29"/>
    </row>
    <row r="226" spans="2:13" ht="20.100000000000001" hidden="1" customHeight="1" x14ac:dyDescent="0.15">
      <c r="B226" s="5">
        <v>221</v>
      </c>
      <c r="C226" s="263"/>
      <c r="D226" s="264"/>
      <c r="E226" s="7"/>
      <c r="F226" s="248"/>
      <c r="G226" s="249"/>
      <c r="H226" s="250"/>
      <c r="I226" s="245"/>
      <c r="J226" s="246"/>
      <c r="K226" s="245"/>
      <c r="L226" s="246"/>
      <c r="M226" s="29"/>
    </row>
    <row r="227" spans="2:13" ht="20.100000000000001" hidden="1" customHeight="1" x14ac:dyDescent="0.15">
      <c r="B227" s="5">
        <v>222</v>
      </c>
      <c r="C227" s="263"/>
      <c r="D227" s="264"/>
      <c r="E227" s="7"/>
      <c r="F227" s="248"/>
      <c r="G227" s="249"/>
      <c r="H227" s="250"/>
      <c r="I227" s="245"/>
      <c r="J227" s="246"/>
      <c r="K227" s="245"/>
      <c r="L227" s="246"/>
      <c r="M227" s="29"/>
    </row>
    <row r="228" spans="2:13" ht="20.100000000000001" hidden="1" customHeight="1" x14ac:dyDescent="0.15">
      <c r="B228" s="5">
        <v>223</v>
      </c>
      <c r="C228" s="263"/>
      <c r="D228" s="264"/>
      <c r="E228" s="7"/>
      <c r="F228" s="248"/>
      <c r="G228" s="249"/>
      <c r="H228" s="250"/>
      <c r="I228" s="245"/>
      <c r="J228" s="246"/>
      <c r="K228" s="245"/>
      <c r="L228" s="246"/>
      <c r="M228" s="29"/>
    </row>
    <row r="229" spans="2:13" ht="20.100000000000001" hidden="1" customHeight="1" x14ac:dyDescent="0.15">
      <c r="B229" s="5">
        <v>224</v>
      </c>
      <c r="C229" s="263"/>
      <c r="D229" s="264"/>
      <c r="E229" s="7"/>
      <c r="F229" s="248"/>
      <c r="G229" s="249"/>
      <c r="H229" s="250"/>
      <c r="I229" s="245"/>
      <c r="J229" s="246"/>
      <c r="K229" s="245"/>
      <c r="L229" s="246"/>
      <c r="M229" s="29"/>
    </row>
    <row r="230" spans="2:13" ht="20.100000000000001" hidden="1" customHeight="1" x14ac:dyDescent="0.15">
      <c r="B230" s="5">
        <v>225</v>
      </c>
      <c r="C230" s="263"/>
      <c r="D230" s="264"/>
      <c r="E230" s="7"/>
      <c r="F230" s="248"/>
      <c r="G230" s="249"/>
      <c r="H230" s="250"/>
      <c r="I230" s="245"/>
      <c r="J230" s="246"/>
      <c r="K230" s="245"/>
      <c r="L230" s="246"/>
      <c r="M230" s="29"/>
    </row>
    <row r="231" spans="2:13" ht="20.100000000000001" hidden="1" customHeight="1" x14ac:dyDescent="0.15">
      <c r="B231" s="5">
        <v>226</v>
      </c>
      <c r="C231" s="263"/>
      <c r="D231" s="264"/>
      <c r="E231" s="7"/>
      <c r="F231" s="248"/>
      <c r="G231" s="249"/>
      <c r="H231" s="250"/>
      <c r="I231" s="245"/>
      <c r="J231" s="246"/>
      <c r="K231" s="245"/>
      <c r="L231" s="246"/>
      <c r="M231" s="29"/>
    </row>
    <row r="232" spans="2:13" ht="20.100000000000001" hidden="1" customHeight="1" x14ac:dyDescent="0.15">
      <c r="B232" s="5">
        <v>227</v>
      </c>
      <c r="C232" s="263"/>
      <c r="D232" s="264"/>
      <c r="E232" s="7"/>
      <c r="F232" s="248"/>
      <c r="G232" s="249"/>
      <c r="H232" s="250"/>
      <c r="I232" s="245"/>
      <c r="J232" s="246"/>
      <c r="K232" s="245"/>
      <c r="L232" s="246"/>
      <c r="M232" s="29"/>
    </row>
    <row r="233" spans="2:13" ht="20.100000000000001" hidden="1" customHeight="1" x14ac:dyDescent="0.15">
      <c r="B233" s="5">
        <v>228</v>
      </c>
      <c r="C233" s="263"/>
      <c r="D233" s="264"/>
      <c r="E233" s="7"/>
      <c r="F233" s="248"/>
      <c r="G233" s="249"/>
      <c r="H233" s="250"/>
      <c r="I233" s="245"/>
      <c r="J233" s="246"/>
      <c r="K233" s="245"/>
      <c r="L233" s="246"/>
      <c r="M233" s="29"/>
    </row>
    <row r="234" spans="2:13" ht="20.100000000000001" hidden="1" customHeight="1" x14ac:dyDescent="0.15">
      <c r="B234" s="5">
        <v>229</v>
      </c>
      <c r="C234" s="263"/>
      <c r="D234" s="264"/>
      <c r="E234" s="7"/>
      <c r="F234" s="248"/>
      <c r="G234" s="249"/>
      <c r="H234" s="250"/>
      <c r="I234" s="245"/>
      <c r="J234" s="246"/>
      <c r="K234" s="245"/>
      <c r="L234" s="246"/>
      <c r="M234" s="29"/>
    </row>
    <row r="235" spans="2:13" ht="20.100000000000001" hidden="1" customHeight="1" x14ac:dyDescent="0.15">
      <c r="B235" s="5">
        <v>230</v>
      </c>
      <c r="C235" s="263"/>
      <c r="D235" s="264"/>
      <c r="E235" s="7"/>
      <c r="F235" s="248"/>
      <c r="G235" s="249"/>
      <c r="H235" s="250"/>
      <c r="I235" s="245"/>
      <c r="J235" s="246"/>
      <c r="K235" s="245"/>
      <c r="L235" s="246"/>
      <c r="M235" s="29"/>
    </row>
    <row r="236" spans="2:13" ht="20.100000000000001" hidden="1" customHeight="1" x14ac:dyDescent="0.15">
      <c r="B236" s="5">
        <v>231</v>
      </c>
      <c r="C236" s="263"/>
      <c r="D236" s="264"/>
      <c r="E236" s="7"/>
      <c r="F236" s="248"/>
      <c r="G236" s="249"/>
      <c r="H236" s="250"/>
      <c r="I236" s="245"/>
      <c r="J236" s="246"/>
      <c r="K236" s="245"/>
      <c r="L236" s="246"/>
      <c r="M236" s="29"/>
    </row>
    <row r="237" spans="2:13" ht="20.100000000000001" hidden="1" customHeight="1" x14ac:dyDescent="0.15">
      <c r="B237" s="5">
        <v>232</v>
      </c>
      <c r="C237" s="263"/>
      <c r="D237" s="264"/>
      <c r="E237" s="7"/>
      <c r="F237" s="248"/>
      <c r="G237" s="249"/>
      <c r="H237" s="250"/>
      <c r="I237" s="245"/>
      <c r="J237" s="246"/>
      <c r="K237" s="245"/>
      <c r="L237" s="246"/>
      <c r="M237" s="29"/>
    </row>
    <row r="238" spans="2:13" ht="20.100000000000001" hidden="1" customHeight="1" x14ac:dyDescent="0.15">
      <c r="B238" s="5">
        <v>233</v>
      </c>
      <c r="C238" s="263"/>
      <c r="D238" s="264"/>
      <c r="E238" s="7"/>
      <c r="F238" s="248"/>
      <c r="G238" s="249"/>
      <c r="H238" s="250"/>
      <c r="I238" s="245"/>
      <c r="J238" s="246"/>
      <c r="K238" s="245"/>
      <c r="L238" s="246"/>
      <c r="M238" s="29"/>
    </row>
    <row r="239" spans="2:13" ht="20.100000000000001" hidden="1" customHeight="1" x14ac:dyDescent="0.15">
      <c r="B239" s="5">
        <v>234</v>
      </c>
      <c r="C239" s="263"/>
      <c r="D239" s="264"/>
      <c r="E239" s="7"/>
      <c r="F239" s="248"/>
      <c r="G239" s="249"/>
      <c r="H239" s="250"/>
      <c r="I239" s="245"/>
      <c r="J239" s="246"/>
      <c r="K239" s="245"/>
      <c r="L239" s="246"/>
      <c r="M239" s="29"/>
    </row>
    <row r="240" spans="2:13" ht="20.100000000000001" hidden="1" customHeight="1" x14ac:dyDescent="0.15">
      <c r="B240" s="5">
        <v>235</v>
      </c>
      <c r="C240" s="263"/>
      <c r="D240" s="264"/>
      <c r="E240" s="7"/>
      <c r="F240" s="248"/>
      <c r="G240" s="249"/>
      <c r="H240" s="250"/>
      <c r="I240" s="245"/>
      <c r="J240" s="246"/>
      <c r="K240" s="245"/>
      <c r="L240" s="246"/>
      <c r="M240" s="29"/>
    </row>
    <row r="241" spans="2:13" ht="20.100000000000001" hidden="1" customHeight="1" x14ac:dyDescent="0.15">
      <c r="B241" s="5">
        <v>236</v>
      </c>
      <c r="C241" s="263"/>
      <c r="D241" s="264"/>
      <c r="E241" s="7"/>
      <c r="F241" s="248"/>
      <c r="G241" s="249"/>
      <c r="H241" s="250"/>
      <c r="I241" s="245"/>
      <c r="J241" s="246"/>
      <c r="K241" s="245"/>
      <c r="L241" s="246"/>
      <c r="M241" s="29"/>
    </row>
    <row r="242" spans="2:13" ht="20.100000000000001" hidden="1" customHeight="1" x14ac:dyDescent="0.15">
      <c r="B242" s="5">
        <v>237</v>
      </c>
      <c r="C242" s="263"/>
      <c r="D242" s="264"/>
      <c r="E242" s="7"/>
      <c r="F242" s="248"/>
      <c r="G242" s="249"/>
      <c r="H242" s="250"/>
      <c r="I242" s="245"/>
      <c r="J242" s="246"/>
      <c r="K242" s="245"/>
      <c r="L242" s="246"/>
      <c r="M242" s="29"/>
    </row>
    <row r="243" spans="2:13" ht="20.100000000000001" hidden="1" customHeight="1" x14ac:dyDescent="0.15">
      <c r="B243" s="5">
        <v>238</v>
      </c>
      <c r="C243" s="263"/>
      <c r="D243" s="264"/>
      <c r="E243" s="7"/>
      <c r="F243" s="248"/>
      <c r="G243" s="249"/>
      <c r="H243" s="250"/>
      <c r="I243" s="245"/>
      <c r="J243" s="246"/>
      <c r="K243" s="245"/>
      <c r="L243" s="246"/>
      <c r="M243" s="29"/>
    </row>
    <row r="244" spans="2:13" ht="20.100000000000001" hidden="1" customHeight="1" x14ac:dyDescent="0.15">
      <c r="B244" s="5">
        <v>239</v>
      </c>
      <c r="C244" s="263"/>
      <c r="D244" s="264"/>
      <c r="E244" s="7"/>
      <c r="F244" s="248"/>
      <c r="G244" s="249"/>
      <c r="H244" s="250"/>
      <c r="I244" s="245"/>
      <c r="J244" s="246"/>
      <c r="K244" s="245"/>
      <c r="L244" s="246"/>
      <c r="M244" s="29"/>
    </row>
    <row r="245" spans="2:13" ht="20.100000000000001" hidden="1" customHeight="1" x14ac:dyDescent="0.15">
      <c r="B245" s="5">
        <v>240</v>
      </c>
      <c r="C245" s="263"/>
      <c r="D245" s="264"/>
      <c r="E245" s="7"/>
      <c r="F245" s="248"/>
      <c r="G245" s="249"/>
      <c r="H245" s="250"/>
      <c r="I245" s="245"/>
      <c r="J245" s="246"/>
      <c r="K245" s="245"/>
      <c r="L245" s="246"/>
      <c r="M245" s="29"/>
    </row>
    <row r="246" spans="2:13" ht="20.100000000000001" hidden="1" customHeight="1" x14ac:dyDescent="0.15">
      <c r="B246" s="5">
        <v>241</v>
      </c>
      <c r="C246" s="263"/>
      <c r="D246" s="264"/>
      <c r="E246" s="7"/>
      <c r="F246" s="248"/>
      <c r="G246" s="249"/>
      <c r="H246" s="250"/>
      <c r="I246" s="245"/>
      <c r="J246" s="246"/>
      <c r="K246" s="245"/>
      <c r="L246" s="246"/>
      <c r="M246" s="29"/>
    </row>
    <row r="247" spans="2:13" ht="20.100000000000001" hidden="1" customHeight="1" x14ac:dyDescent="0.15">
      <c r="B247" s="5">
        <v>242</v>
      </c>
      <c r="C247" s="263"/>
      <c r="D247" s="264"/>
      <c r="E247" s="7"/>
      <c r="F247" s="248"/>
      <c r="G247" s="249"/>
      <c r="H247" s="250"/>
      <c r="I247" s="245"/>
      <c r="J247" s="246"/>
      <c r="K247" s="245"/>
      <c r="L247" s="246"/>
      <c r="M247" s="29"/>
    </row>
    <row r="248" spans="2:13" ht="20.100000000000001" hidden="1" customHeight="1" x14ac:dyDescent="0.15">
      <c r="B248" s="5">
        <v>243</v>
      </c>
      <c r="C248" s="263"/>
      <c r="D248" s="264"/>
      <c r="E248" s="7"/>
      <c r="F248" s="248"/>
      <c r="G248" s="249"/>
      <c r="H248" s="250"/>
      <c r="I248" s="245"/>
      <c r="J248" s="246"/>
      <c r="K248" s="245"/>
      <c r="L248" s="246"/>
      <c r="M248" s="29"/>
    </row>
    <row r="249" spans="2:13" ht="20.100000000000001" hidden="1" customHeight="1" x14ac:dyDescent="0.15">
      <c r="B249" s="5">
        <v>244</v>
      </c>
      <c r="C249" s="263"/>
      <c r="D249" s="264"/>
      <c r="E249" s="7"/>
      <c r="F249" s="248"/>
      <c r="G249" s="249"/>
      <c r="H249" s="250"/>
      <c r="I249" s="245"/>
      <c r="J249" s="246"/>
      <c r="K249" s="245"/>
      <c r="L249" s="246"/>
      <c r="M249" s="29"/>
    </row>
    <row r="250" spans="2:13" ht="20.100000000000001" hidden="1" customHeight="1" x14ac:dyDescent="0.15">
      <c r="B250" s="5">
        <v>245</v>
      </c>
      <c r="C250" s="263"/>
      <c r="D250" s="264"/>
      <c r="E250" s="7"/>
      <c r="F250" s="248"/>
      <c r="G250" s="249"/>
      <c r="H250" s="250"/>
      <c r="I250" s="245"/>
      <c r="J250" s="246"/>
      <c r="K250" s="245"/>
      <c r="L250" s="246"/>
      <c r="M250" s="29"/>
    </row>
    <row r="251" spans="2:13" ht="20.100000000000001" hidden="1" customHeight="1" x14ac:dyDescent="0.15">
      <c r="B251" s="5">
        <v>246</v>
      </c>
      <c r="C251" s="263"/>
      <c r="D251" s="264"/>
      <c r="E251" s="7"/>
      <c r="F251" s="248"/>
      <c r="G251" s="249"/>
      <c r="H251" s="250"/>
      <c r="I251" s="245"/>
      <c r="J251" s="246"/>
      <c r="K251" s="245"/>
      <c r="L251" s="246"/>
      <c r="M251" s="29"/>
    </row>
    <row r="252" spans="2:13" ht="20.100000000000001" hidden="1" customHeight="1" x14ac:dyDescent="0.15">
      <c r="B252" s="5">
        <v>247</v>
      </c>
      <c r="C252" s="263"/>
      <c r="D252" s="264"/>
      <c r="E252" s="7"/>
      <c r="F252" s="248"/>
      <c r="G252" s="249"/>
      <c r="H252" s="250"/>
      <c r="I252" s="245"/>
      <c r="J252" s="246"/>
      <c r="K252" s="245"/>
      <c r="L252" s="246"/>
      <c r="M252" s="29"/>
    </row>
    <row r="253" spans="2:13" ht="20.100000000000001" hidden="1" customHeight="1" x14ac:dyDescent="0.15">
      <c r="B253" s="5">
        <v>248</v>
      </c>
      <c r="C253" s="263"/>
      <c r="D253" s="264"/>
      <c r="E253" s="7"/>
      <c r="F253" s="248"/>
      <c r="G253" s="249"/>
      <c r="H253" s="250"/>
      <c r="I253" s="245"/>
      <c r="J253" s="246"/>
      <c r="K253" s="245"/>
      <c r="L253" s="246"/>
      <c r="M253" s="29"/>
    </row>
    <row r="254" spans="2:13" ht="20.100000000000001" hidden="1" customHeight="1" x14ac:dyDescent="0.15">
      <c r="B254" s="5">
        <v>249</v>
      </c>
      <c r="C254" s="263"/>
      <c r="D254" s="264"/>
      <c r="E254" s="7"/>
      <c r="F254" s="248"/>
      <c r="G254" s="249"/>
      <c r="H254" s="250"/>
      <c r="I254" s="245"/>
      <c r="J254" s="246"/>
      <c r="K254" s="245"/>
      <c r="L254" s="246"/>
      <c r="M254" s="29"/>
    </row>
    <row r="255" spans="2:13" ht="20.100000000000001" hidden="1" customHeight="1" x14ac:dyDescent="0.15">
      <c r="B255" s="5">
        <v>250</v>
      </c>
      <c r="C255" s="263"/>
      <c r="D255" s="264"/>
      <c r="E255" s="7"/>
      <c r="F255" s="248"/>
      <c r="G255" s="249"/>
      <c r="H255" s="250"/>
      <c r="I255" s="245"/>
      <c r="J255" s="246"/>
      <c r="K255" s="245"/>
      <c r="L255" s="246"/>
      <c r="M255" s="29"/>
    </row>
    <row r="256" spans="2:13" ht="20.100000000000001" hidden="1" customHeight="1" x14ac:dyDescent="0.15">
      <c r="B256" s="5">
        <v>251</v>
      </c>
      <c r="C256" s="263"/>
      <c r="D256" s="264"/>
      <c r="E256" s="7"/>
      <c r="F256" s="248"/>
      <c r="G256" s="249"/>
      <c r="H256" s="250"/>
      <c r="I256" s="245"/>
      <c r="J256" s="246"/>
      <c r="K256" s="245"/>
      <c r="L256" s="246"/>
      <c r="M256" s="29"/>
    </row>
    <row r="257" spans="2:13" ht="20.100000000000001" hidden="1" customHeight="1" x14ac:dyDescent="0.15">
      <c r="B257" s="5">
        <v>252</v>
      </c>
      <c r="C257" s="263"/>
      <c r="D257" s="264"/>
      <c r="E257" s="7"/>
      <c r="F257" s="248"/>
      <c r="G257" s="249"/>
      <c r="H257" s="250"/>
      <c r="I257" s="245"/>
      <c r="J257" s="246"/>
      <c r="K257" s="245"/>
      <c r="L257" s="246"/>
      <c r="M257" s="29"/>
    </row>
    <row r="258" spans="2:13" ht="20.100000000000001" hidden="1" customHeight="1" x14ac:dyDescent="0.15">
      <c r="B258" s="5">
        <v>253</v>
      </c>
      <c r="C258" s="263"/>
      <c r="D258" s="264"/>
      <c r="E258" s="7"/>
      <c r="F258" s="248"/>
      <c r="G258" s="249"/>
      <c r="H258" s="250"/>
      <c r="I258" s="245"/>
      <c r="J258" s="246"/>
      <c r="K258" s="245"/>
      <c r="L258" s="246"/>
      <c r="M258" s="29"/>
    </row>
    <row r="259" spans="2:13" ht="20.100000000000001" hidden="1" customHeight="1" x14ac:dyDescent="0.15">
      <c r="B259" s="5">
        <v>254</v>
      </c>
      <c r="C259" s="263"/>
      <c r="D259" s="264"/>
      <c r="E259" s="7"/>
      <c r="F259" s="248"/>
      <c r="G259" s="249"/>
      <c r="H259" s="250"/>
      <c r="I259" s="245"/>
      <c r="J259" s="246"/>
      <c r="K259" s="245"/>
      <c r="L259" s="246"/>
      <c r="M259" s="29"/>
    </row>
    <row r="260" spans="2:13" ht="20.100000000000001" hidden="1" customHeight="1" x14ac:dyDescent="0.15">
      <c r="B260" s="5">
        <v>255</v>
      </c>
      <c r="C260" s="263"/>
      <c r="D260" s="264"/>
      <c r="E260" s="7"/>
      <c r="F260" s="248"/>
      <c r="G260" s="249"/>
      <c r="H260" s="250"/>
      <c r="I260" s="245"/>
      <c r="J260" s="246"/>
      <c r="K260" s="245"/>
      <c r="L260" s="246"/>
      <c r="M260" s="29"/>
    </row>
    <row r="261" spans="2:13" ht="20.100000000000001" hidden="1" customHeight="1" x14ac:dyDescent="0.15">
      <c r="B261" s="5">
        <v>256</v>
      </c>
      <c r="C261" s="263"/>
      <c r="D261" s="264"/>
      <c r="E261" s="7"/>
      <c r="F261" s="248"/>
      <c r="G261" s="249"/>
      <c r="H261" s="250"/>
      <c r="I261" s="245"/>
      <c r="J261" s="246"/>
      <c r="K261" s="245"/>
      <c r="L261" s="246"/>
      <c r="M261" s="29"/>
    </row>
    <row r="262" spans="2:13" ht="20.100000000000001" hidden="1" customHeight="1" x14ac:dyDescent="0.15">
      <c r="B262" s="5">
        <v>257</v>
      </c>
      <c r="C262" s="263"/>
      <c r="D262" s="264"/>
      <c r="E262" s="7"/>
      <c r="F262" s="248"/>
      <c r="G262" s="249"/>
      <c r="H262" s="250"/>
      <c r="I262" s="245"/>
      <c r="J262" s="246"/>
      <c r="K262" s="245"/>
      <c r="L262" s="246"/>
      <c r="M262" s="29"/>
    </row>
    <row r="263" spans="2:13" ht="20.100000000000001" hidden="1" customHeight="1" x14ac:dyDescent="0.15">
      <c r="B263" s="5">
        <v>258</v>
      </c>
      <c r="C263" s="263"/>
      <c r="D263" s="264"/>
      <c r="E263" s="7"/>
      <c r="F263" s="248"/>
      <c r="G263" s="249"/>
      <c r="H263" s="250"/>
      <c r="I263" s="245"/>
      <c r="J263" s="246"/>
      <c r="K263" s="245"/>
      <c r="L263" s="246"/>
      <c r="M263" s="29"/>
    </row>
    <row r="264" spans="2:13" ht="20.100000000000001" hidden="1" customHeight="1" x14ac:dyDescent="0.15">
      <c r="B264" s="5">
        <v>259</v>
      </c>
      <c r="C264" s="263"/>
      <c r="D264" s="264"/>
      <c r="E264" s="7"/>
      <c r="F264" s="248"/>
      <c r="G264" s="249"/>
      <c r="H264" s="250"/>
      <c r="I264" s="245"/>
      <c r="J264" s="246"/>
      <c r="K264" s="245"/>
      <c r="L264" s="246"/>
      <c r="M264" s="29"/>
    </row>
    <row r="265" spans="2:13" ht="20.100000000000001" hidden="1" customHeight="1" x14ac:dyDescent="0.15">
      <c r="B265" s="5">
        <v>260</v>
      </c>
      <c r="C265" s="263"/>
      <c r="D265" s="264"/>
      <c r="E265" s="7"/>
      <c r="F265" s="248"/>
      <c r="G265" s="249"/>
      <c r="H265" s="250"/>
      <c r="I265" s="245"/>
      <c r="J265" s="246"/>
      <c r="K265" s="245"/>
      <c r="L265" s="246"/>
      <c r="M265" s="29"/>
    </row>
    <row r="266" spans="2:13" ht="20.100000000000001" hidden="1" customHeight="1" x14ac:dyDescent="0.15">
      <c r="B266" s="5">
        <v>261</v>
      </c>
      <c r="C266" s="263"/>
      <c r="D266" s="264"/>
      <c r="E266" s="7"/>
      <c r="F266" s="248"/>
      <c r="G266" s="249"/>
      <c r="H266" s="250"/>
      <c r="I266" s="245"/>
      <c r="J266" s="246"/>
      <c r="K266" s="245"/>
      <c r="L266" s="246"/>
      <c r="M266" s="29"/>
    </row>
    <row r="267" spans="2:13" ht="20.100000000000001" hidden="1" customHeight="1" x14ac:dyDescent="0.15">
      <c r="B267" s="5">
        <v>262</v>
      </c>
      <c r="C267" s="263"/>
      <c r="D267" s="264"/>
      <c r="E267" s="7"/>
      <c r="F267" s="248"/>
      <c r="G267" s="249"/>
      <c r="H267" s="250"/>
      <c r="I267" s="245"/>
      <c r="J267" s="246"/>
      <c r="K267" s="245"/>
      <c r="L267" s="246"/>
      <c r="M267" s="29"/>
    </row>
    <row r="268" spans="2:13" ht="20.100000000000001" hidden="1" customHeight="1" x14ac:dyDescent="0.15">
      <c r="B268" s="5">
        <v>263</v>
      </c>
      <c r="C268" s="263"/>
      <c r="D268" s="264"/>
      <c r="E268" s="7"/>
      <c r="F268" s="248"/>
      <c r="G268" s="249"/>
      <c r="H268" s="250"/>
      <c r="I268" s="245"/>
      <c r="J268" s="246"/>
      <c r="K268" s="245"/>
      <c r="L268" s="246"/>
      <c r="M268" s="29"/>
    </row>
    <row r="269" spans="2:13" ht="20.100000000000001" hidden="1" customHeight="1" x14ac:dyDescent="0.15">
      <c r="B269" s="5">
        <v>264</v>
      </c>
      <c r="C269" s="263"/>
      <c r="D269" s="264"/>
      <c r="E269" s="7"/>
      <c r="F269" s="248"/>
      <c r="G269" s="249"/>
      <c r="H269" s="250"/>
      <c r="I269" s="245"/>
      <c r="J269" s="246"/>
      <c r="K269" s="245"/>
      <c r="L269" s="246"/>
      <c r="M269" s="29"/>
    </row>
    <row r="270" spans="2:13" ht="20.100000000000001" hidden="1" customHeight="1" x14ac:dyDescent="0.15">
      <c r="B270" s="5">
        <v>265</v>
      </c>
      <c r="C270" s="263"/>
      <c r="D270" s="264"/>
      <c r="E270" s="7"/>
      <c r="F270" s="248"/>
      <c r="G270" s="249"/>
      <c r="H270" s="250"/>
      <c r="I270" s="245"/>
      <c r="J270" s="246"/>
      <c r="K270" s="245"/>
      <c r="L270" s="246"/>
      <c r="M270" s="29"/>
    </row>
    <row r="271" spans="2:13" ht="20.100000000000001" hidden="1" customHeight="1" x14ac:dyDescent="0.15">
      <c r="B271" s="5">
        <v>266</v>
      </c>
      <c r="C271" s="263"/>
      <c r="D271" s="264"/>
      <c r="E271" s="7"/>
      <c r="F271" s="248"/>
      <c r="G271" s="249"/>
      <c r="H271" s="250"/>
      <c r="I271" s="245"/>
      <c r="J271" s="246"/>
      <c r="K271" s="245"/>
      <c r="L271" s="246"/>
      <c r="M271" s="29"/>
    </row>
    <row r="272" spans="2:13" ht="20.100000000000001" hidden="1" customHeight="1" x14ac:dyDescent="0.15">
      <c r="B272" s="5">
        <v>267</v>
      </c>
      <c r="C272" s="263"/>
      <c r="D272" s="264"/>
      <c r="E272" s="7"/>
      <c r="F272" s="248"/>
      <c r="G272" s="249"/>
      <c r="H272" s="250"/>
      <c r="I272" s="245"/>
      <c r="J272" s="246"/>
      <c r="K272" s="245"/>
      <c r="L272" s="246"/>
      <c r="M272" s="29"/>
    </row>
    <row r="273" spans="2:13" ht="20.100000000000001" hidden="1" customHeight="1" x14ac:dyDescent="0.15">
      <c r="B273" s="5">
        <v>268</v>
      </c>
      <c r="C273" s="263"/>
      <c r="D273" s="264"/>
      <c r="E273" s="7"/>
      <c r="F273" s="248"/>
      <c r="G273" s="249"/>
      <c r="H273" s="250"/>
      <c r="I273" s="245"/>
      <c r="J273" s="246"/>
      <c r="K273" s="245"/>
      <c r="L273" s="246"/>
      <c r="M273" s="29"/>
    </row>
    <row r="274" spans="2:13" ht="20.100000000000001" hidden="1" customHeight="1" x14ac:dyDescent="0.15">
      <c r="B274" s="5">
        <v>269</v>
      </c>
      <c r="C274" s="263"/>
      <c r="D274" s="264"/>
      <c r="E274" s="7"/>
      <c r="F274" s="248"/>
      <c r="G274" s="249"/>
      <c r="H274" s="250"/>
      <c r="I274" s="245"/>
      <c r="J274" s="246"/>
      <c r="K274" s="245"/>
      <c r="L274" s="246"/>
      <c r="M274" s="29"/>
    </row>
    <row r="275" spans="2:13" ht="20.100000000000001" hidden="1" customHeight="1" x14ac:dyDescent="0.15">
      <c r="B275" s="5">
        <v>270</v>
      </c>
      <c r="C275" s="263"/>
      <c r="D275" s="264"/>
      <c r="E275" s="7"/>
      <c r="F275" s="248"/>
      <c r="G275" s="249"/>
      <c r="H275" s="250"/>
      <c r="I275" s="245"/>
      <c r="J275" s="246"/>
      <c r="K275" s="245"/>
      <c r="L275" s="246"/>
      <c r="M275" s="29"/>
    </row>
    <row r="276" spans="2:13" ht="20.100000000000001" hidden="1" customHeight="1" x14ac:dyDescent="0.15">
      <c r="B276" s="5">
        <v>271</v>
      </c>
      <c r="C276" s="263"/>
      <c r="D276" s="264"/>
      <c r="E276" s="7"/>
      <c r="F276" s="248"/>
      <c r="G276" s="249"/>
      <c r="H276" s="250"/>
      <c r="I276" s="245"/>
      <c r="J276" s="246"/>
      <c r="K276" s="245"/>
      <c r="L276" s="246"/>
      <c r="M276" s="29"/>
    </row>
    <row r="277" spans="2:13" ht="20.100000000000001" hidden="1" customHeight="1" x14ac:dyDescent="0.15">
      <c r="B277" s="5">
        <v>272</v>
      </c>
      <c r="C277" s="263"/>
      <c r="D277" s="264"/>
      <c r="E277" s="7"/>
      <c r="F277" s="248"/>
      <c r="G277" s="249"/>
      <c r="H277" s="250"/>
      <c r="I277" s="245"/>
      <c r="J277" s="246"/>
      <c r="K277" s="245"/>
      <c r="L277" s="246"/>
      <c r="M277" s="29"/>
    </row>
    <row r="278" spans="2:13" ht="20.100000000000001" hidden="1" customHeight="1" x14ac:dyDescent="0.15">
      <c r="B278" s="5">
        <v>273</v>
      </c>
      <c r="C278" s="263"/>
      <c r="D278" s="264"/>
      <c r="E278" s="7"/>
      <c r="F278" s="248"/>
      <c r="G278" s="249"/>
      <c r="H278" s="250"/>
      <c r="I278" s="245"/>
      <c r="J278" s="246"/>
      <c r="K278" s="245"/>
      <c r="L278" s="246"/>
      <c r="M278" s="29"/>
    </row>
    <row r="279" spans="2:13" ht="20.100000000000001" hidden="1" customHeight="1" x14ac:dyDescent="0.15">
      <c r="B279" s="5">
        <v>274</v>
      </c>
      <c r="C279" s="263"/>
      <c r="D279" s="264"/>
      <c r="E279" s="7"/>
      <c r="F279" s="248"/>
      <c r="G279" s="249"/>
      <c r="H279" s="250"/>
      <c r="I279" s="245"/>
      <c r="J279" s="246"/>
      <c r="K279" s="245"/>
      <c r="L279" s="246"/>
      <c r="M279" s="29"/>
    </row>
    <row r="280" spans="2:13" ht="20.100000000000001" hidden="1" customHeight="1" x14ac:dyDescent="0.15">
      <c r="B280" s="5">
        <v>275</v>
      </c>
      <c r="C280" s="263"/>
      <c r="D280" s="264"/>
      <c r="E280" s="7"/>
      <c r="F280" s="248"/>
      <c r="G280" s="249"/>
      <c r="H280" s="250"/>
      <c r="I280" s="245"/>
      <c r="J280" s="246"/>
      <c r="K280" s="245"/>
      <c r="L280" s="246"/>
      <c r="M280" s="29"/>
    </row>
    <row r="281" spans="2:13" ht="20.100000000000001" hidden="1" customHeight="1" x14ac:dyDescent="0.15">
      <c r="B281" s="5">
        <v>276</v>
      </c>
      <c r="C281" s="263"/>
      <c r="D281" s="264"/>
      <c r="E281" s="7"/>
      <c r="F281" s="248"/>
      <c r="G281" s="249"/>
      <c r="H281" s="250"/>
      <c r="I281" s="245"/>
      <c r="J281" s="246"/>
      <c r="K281" s="245"/>
      <c r="L281" s="246"/>
      <c r="M281" s="29"/>
    </row>
    <row r="282" spans="2:13" ht="20.100000000000001" hidden="1" customHeight="1" x14ac:dyDescent="0.15">
      <c r="B282" s="5">
        <v>277</v>
      </c>
      <c r="C282" s="263"/>
      <c r="D282" s="264"/>
      <c r="E282" s="7"/>
      <c r="F282" s="248"/>
      <c r="G282" s="249"/>
      <c r="H282" s="250"/>
      <c r="I282" s="245"/>
      <c r="J282" s="246"/>
      <c r="K282" s="245"/>
      <c r="L282" s="246"/>
      <c r="M282" s="29"/>
    </row>
    <row r="283" spans="2:13" ht="20.100000000000001" hidden="1" customHeight="1" x14ac:dyDescent="0.15">
      <c r="B283" s="5">
        <v>278</v>
      </c>
      <c r="C283" s="263"/>
      <c r="D283" s="264"/>
      <c r="E283" s="7"/>
      <c r="F283" s="248"/>
      <c r="G283" s="249"/>
      <c r="H283" s="250"/>
      <c r="I283" s="245"/>
      <c r="J283" s="246"/>
      <c r="K283" s="245"/>
      <c r="L283" s="246"/>
      <c r="M283" s="29"/>
    </row>
    <row r="284" spans="2:13" ht="20.100000000000001" hidden="1" customHeight="1" x14ac:dyDescent="0.15">
      <c r="B284" s="5">
        <v>279</v>
      </c>
      <c r="C284" s="263"/>
      <c r="D284" s="264"/>
      <c r="E284" s="7"/>
      <c r="F284" s="248"/>
      <c r="G284" s="249"/>
      <c r="H284" s="250"/>
      <c r="I284" s="245"/>
      <c r="J284" s="246"/>
      <c r="K284" s="245"/>
      <c r="L284" s="246"/>
      <c r="M284" s="29"/>
    </row>
    <row r="285" spans="2:13" ht="20.100000000000001" hidden="1" customHeight="1" x14ac:dyDescent="0.15">
      <c r="B285" s="5">
        <v>280</v>
      </c>
      <c r="C285" s="263"/>
      <c r="D285" s="264"/>
      <c r="E285" s="7"/>
      <c r="F285" s="248"/>
      <c r="G285" s="249"/>
      <c r="H285" s="250"/>
      <c r="I285" s="245"/>
      <c r="J285" s="246"/>
      <c r="K285" s="245"/>
      <c r="L285" s="246"/>
      <c r="M285" s="29"/>
    </row>
    <row r="286" spans="2:13" ht="20.100000000000001" hidden="1" customHeight="1" x14ac:dyDescent="0.15">
      <c r="B286" s="5">
        <v>281</v>
      </c>
      <c r="C286" s="263"/>
      <c r="D286" s="264"/>
      <c r="E286" s="7"/>
      <c r="F286" s="248"/>
      <c r="G286" s="249"/>
      <c r="H286" s="250"/>
      <c r="I286" s="245"/>
      <c r="J286" s="246"/>
      <c r="K286" s="245"/>
      <c r="L286" s="246"/>
      <c r="M286" s="29"/>
    </row>
    <row r="287" spans="2:13" ht="20.100000000000001" hidden="1" customHeight="1" x14ac:dyDescent="0.15">
      <c r="B287" s="5">
        <v>282</v>
      </c>
      <c r="C287" s="263"/>
      <c r="D287" s="264"/>
      <c r="E287" s="7"/>
      <c r="F287" s="248"/>
      <c r="G287" s="249"/>
      <c r="H287" s="250"/>
      <c r="I287" s="245"/>
      <c r="J287" s="246"/>
      <c r="K287" s="245"/>
      <c r="L287" s="246"/>
      <c r="M287" s="29"/>
    </row>
    <row r="288" spans="2:13" ht="20.100000000000001" hidden="1" customHeight="1" x14ac:dyDescent="0.15">
      <c r="B288" s="5">
        <v>283</v>
      </c>
      <c r="C288" s="263"/>
      <c r="D288" s="264"/>
      <c r="E288" s="7"/>
      <c r="F288" s="248"/>
      <c r="G288" s="249"/>
      <c r="H288" s="250"/>
      <c r="I288" s="245"/>
      <c r="J288" s="246"/>
      <c r="K288" s="245"/>
      <c r="L288" s="246"/>
      <c r="M288" s="29"/>
    </row>
    <row r="289" spans="2:13" ht="20.100000000000001" hidden="1" customHeight="1" x14ac:dyDescent="0.15">
      <c r="B289" s="5">
        <v>284</v>
      </c>
      <c r="C289" s="263"/>
      <c r="D289" s="264"/>
      <c r="E289" s="7"/>
      <c r="F289" s="248"/>
      <c r="G289" s="249"/>
      <c r="H289" s="250"/>
      <c r="I289" s="245"/>
      <c r="J289" s="246"/>
      <c r="K289" s="245"/>
      <c r="L289" s="246"/>
      <c r="M289" s="29"/>
    </row>
    <row r="290" spans="2:13" ht="20.100000000000001" hidden="1" customHeight="1" x14ac:dyDescent="0.15">
      <c r="B290" s="5">
        <v>285</v>
      </c>
      <c r="C290" s="263"/>
      <c r="D290" s="264"/>
      <c r="E290" s="7"/>
      <c r="F290" s="248"/>
      <c r="G290" s="249"/>
      <c r="H290" s="250"/>
      <c r="I290" s="245"/>
      <c r="J290" s="246"/>
      <c r="K290" s="245"/>
      <c r="L290" s="246"/>
      <c r="M290" s="29"/>
    </row>
    <row r="291" spans="2:13" ht="20.100000000000001" hidden="1" customHeight="1" x14ac:dyDescent="0.15">
      <c r="B291" s="5">
        <v>286</v>
      </c>
      <c r="C291" s="263"/>
      <c r="D291" s="264"/>
      <c r="E291" s="7"/>
      <c r="F291" s="248"/>
      <c r="G291" s="249"/>
      <c r="H291" s="250"/>
      <c r="I291" s="245"/>
      <c r="J291" s="246"/>
      <c r="K291" s="245"/>
      <c r="L291" s="246"/>
      <c r="M291" s="29"/>
    </row>
    <row r="292" spans="2:13" ht="20.100000000000001" hidden="1" customHeight="1" x14ac:dyDescent="0.15">
      <c r="B292" s="5">
        <v>287</v>
      </c>
      <c r="C292" s="263"/>
      <c r="D292" s="264"/>
      <c r="E292" s="7"/>
      <c r="F292" s="248"/>
      <c r="G292" s="249"/>
      <c r="H292" s="250"/>
      <c r="I292" s="245"/>
      <c r="J292" s="246"/>
      <c r="K292" s="245"/>
      <c r="L292" s="246"/>
      <c r="M292" s="29"/>
    </row>
    <row r="293" spans="2:13" ht="20.100000000000001" hidden="1" customHeight="1" x14ac:dyDescent="0.15">
      <c r="B293" s="5">
        <v>288</v>
      </c>
      <c r="C293" s="263"/>
      <c r="D293" s="264"/>
      <c r="E293" s="7"/>
      <c r="F293" s="248"/>
      <c r="G293" s="249"/>
      <c r="H293" s="250"/>
      <c r="I293" s="245"/>
      <c r="J293" s="246"/>
      <c r="K293" s="245"/>
      <c r="L293" s="246"/>
      <c r="M293" s="29"/>
    </row>
    <row r="294" spans="2:13" ht="20.100000000000001" hidden="1" customHeight="1" x14ac:dyDescent="0.15">
      <c r="B294" s="5">
        <v>289</v>
      </c>
      <c r="C294" s="263"/>
      <c r="D294" s="264"/>
      <c r="E294" s="7"/>
      <c r="F294" s="248"/>
      <c r="G294" s="249"/>
      <c r="H294" s="250"/>
      <c r="I294" s="245"/>
      <c r="J294" s="246"/>
      <c r="K294" s="245"/>
      <c r="L294" s="246"/>
      <c r="M294" s="29"/>
    </row>
    <row r="295" spans="2:13" ht="20.100000000000001" hidden="1" customHeight="1" x14ac:dyDescent="0.15">
      <c r="B295" s="5">
        <v>290</v>
      </c>
      <c r="C295" s="263"/>
      <c r="D295" s="264"/>
      <c r="E295" s="7"/>
      <c r="F295" s="248"/>
      <c r="G295" s="249"/>
      <c r="H295" s="250"/>
      <c r="I295" s="245"/>
      <c r="J295" s="246"/>
      <c r="K295" s="245"/>
      <c r="L295" s="246"/>
      <c r="M295" s="29"/>
    </row>
    <row r="296" spans="2:13" ht="20.100000000000001" hidden="1" customHeight="1" x14ac:dyDescent="0.15">
      <c r="B296" s="5">
        <v>291</v>
      </c>
      <c r="C296" s="263"/>
      <c r="D296" s="264"/>
      <c r="E296" s="7"/>
      <c r="F296" s="248"/>
      <c r="G296" s="249"/>
      <c r="H296" s="250"/>
      <c r="I296" s="245"/>
      <c r="J296" s="246"/>
      <c r="K296" s="245"/>
      <c r="L296" s="246"/>
      <c r="M296" s="29"/>
    </row>
    <row r="297" spans="2:13" ht="20.100000000000001" hidden="1" customHeight="1" x14ac:dyDescent="0.15">
      <c r="B297" s="5">
        <v>292</v>
      </c>
      <c r="C297" s="263"/>
      <c r="D297" s="264"/>
      <c r="E297" s="7"/>
      <c r="F297" s="248"/>
      <c r="G297" s="249"/>
      <c r="H297" s="250"/>
      <c r="I297" s="245"/>
      <c r="J297" s="246"/>
      <c r="K297" s="245"/>
      <c r="L297" s="246"/>
      <c r="M297" s="29"/>
    </row>
    <row r="298" spans="2:13" ht="20.100000000000001" hidden="1" customHeight="1" x14ac:dyDescent="0.15">
      <c r="B298" s="5">
        <v>293</v>
      </c>
      <c r="C298" s="263"/>
      <c r="D298" s="264"/>
      <c r="E298" s="7"/>
      <c r="F298" s="248"/>
      <c r="G298" s="249"/>
      <c r="H298" s="250"/>
      <c r="I298" s="245"/>
      <c r="J298" s="246"/>
      <c r="K298" s="245"/>
      <c r="L298" s="246"/>
      <c r="M298" s="29"/>
    </row>
    <row r="299" spans="2:13" ht="20.100000000000001" hidden="1" customHeight="1" x14ac:dyDescent="0.15">
      <c r="B299" s="5">
        <v>294</v>
      </c>
      <c r="C299" s="263"/>
      <c r="D299" s="264"/>
      <c r="E299" s="7"/>
      <c r="F299" s="248"/>
      <c r="G299" s="249"/>
      <c r="H299" s="250"/>
      <c r="I299" s="245"/>
      <c r="J299" s="246"/>
      <c r="K299" s="245"/>
      <c r="L299" s="246"/>
      <c r="M299" s="29"/>
    </row>
    <row r="300" spans="2:13" ht="20.100000000000001" hidden="1" customHeight="1" x14ac:dyDescent="0.15">
      <c r="B300" s="5">
        <v>295</v>
      </c>
      <c r="C300" s="263"/>
      <c r="D300" s="264"/>
      <c r="E300" s="7"/>
      <c r="F300" s="248"/>
      <c r="G300" s="249"/>
      <c r="H300" s="250"/>
      <c r="I300" s="245"/>
      <c r="J300" s="246"/>
      <c r="K300" s="245"/>
      <c r="L300" s="246"/>
      <c r="M300" s="29"/>
    </row>
    <row r="301" spans="2:13" ht="20.100000000000001" hidden="1" customHeight="1" x14ac:dyDescent="0.15">
      <c r="B301" s="5">
        <v>296</v>
      </c>
      <c r="C301" s="263"/>
      <c r="D301" s="264"/>
      <c r="E301" s="7"/>
      <c r="F301" s="248"/>
      <c r="G301" s="249"/>
      <c r="H301" s="250"/>
      <c r="I301" s="245"/>
      <c r="J301" s="246"/>
      <c r="K301" s="245"/>
      <c r="L301" s="246"/>
      <c r="M301" s="29"/>
    </row>
    <row r="302" spans="2:13" ht="20.100000000000001" hidden="1" customHeight="1" x14ac:dyDescent="0.15">
      <c r="B302" s="5">
        <v>297</v>
      </c>
      <c r="C302" s="263"/>
      <c r="D302" s="264"/>
      <c r="E302" s="7"/>
      <c r="F302" s="248"/>
      <c r="G302" s="249"/>
      <c r="H302" s="250"/>
      <c r="I302" s="245"/>
      <c r="J302" s="246"/>
      <c r="K302" s="245"/>
      <c r="L302" s="246"/>
      <c r="M302" s="29"/>
    </row>
    <row r="303" spans="2:13" ht="20.100000000000001" hidden="1" customHeight="1" x14ac:dyDescent="0.15">
      <c r="B303" s="5">
        <v>298</v>
      </c>
      <c r="C303" s="263"/>
      <c r="D303" s="264"/>
      <c r="E303" s="7"/>
      <c r="F303" s="248"/>
      <c r="G303" s="249"/>
      <c r="H303" s="250"/>
      <c r="I303" s="245"/>
      <c r="J303" s="246"/>
      <c r="K303" s="245"/>
      <c r="L303" s="246"/>
      <c r="M303" s="29"/>
    </row>
    <row r="304" spans="2:13" ht="20.100000000000001" hidden="1" customHeight="1" x14ac:dyDescent="0.15">
      <c r="B304" s="5">
        <v>299</v>
      </c>
      <c r="C304" s="263"/>
      <c r="D304" s="264"/>
      <c r="E304" s="7"/>
      <c r="F304" s="248"/>
      <c r="G304" s="249"/>
      <c r="H304" s="250"/>
      <c r="I304" s="245"/>
      <c r="J304" s="246"/>
      <c r="K304" s="245"/>
      <c r="L304" s="246"/>
      <c r="M304" s="29"/>
    </row>
    <row r="305" spans="2:13" ht="20.100000000000001" hidden="1" customHeight="1" x14ac:dyDescent="0.15">
      <c r="B305" s="5">
        <v>300</v>
      </c>
      <c r="C305" s="263"/>
      <c r="D305" s="264"/>
      <c r="E305" s="7"/>
      <c r="F305" s="248"/>
      <c r="G305" s="249"/>
      <c r="H305" s="250"/>
      <c r="I305" s="245"/>
      <c r="J305" s="246"/>
      <c r="K305" s="245"/>
      <c r="L305" s="246"/>
      <c r="M305" s="29"/>
    </row>
    <row r="306" spans="2:13" ht="20.100000000000001" hidden="1" customHeight="1" x14ac:dyDescent="0.15">
      <c r="B306" s="5">
        <v>301</v>
      </c>
      <c r="C306" s="263"/>
      <c r="D306" s="264"/>
      <c r="E306" s="7"/>
      <c r="F306" s="248"/>
      <c r="G306" s="249"/>
      <c r="H306" s="250"/>
      <c r="I306" s="245"/>
      <c r="J306" s="246"/>
      <c r="K306" s="245"/>
      <c r="L306" s="246"/>
      <c r="M306" s="29"/>
    </row>
    <row r="307" spans="2:13" ht="20.100000000000001" hidden="1" customHeight="1" x14ac:dyDescent="0.15">
      <c r="B307" s="5">
        <v>302</v>
      </c>
      <c r="C307" s="263"/>
      <c r="D307" s="264"/>
      <c r="E307" s="7"/>
      <c r="F307" s="248"/>
      <c r="G307" s="249"/>
      <c r="H307" s="250"/>
      <c r="I307" s="245"/>
      <c r="J307" s="246"/>
      <c r="K307" s="245"/>
      <c r="L307" s="246"/>
      <c r="M307" s="29"/>
    </row>
    <row r="308" spans="2:13" ht="20.100000000000001" hidden="1" customHeight="1" x14ac:dyDescent="0.15">
      <c r="B308" s="5">
        <v>303</v>
      </c>
      <c r="C308" s="263"/>
      <c r="D308" s="264"/>
      <c r="E308" s="7"/>
      <c r="F308" s="248"/>
      <c r="G308" s="249"/>
      <c r="H308" s="250"/>
      <c r="I308" s="245"/>
      <c r="J308" s="246"/>
      <c r="K308" s="245"/>
      <c r="L308" s="246"/>
      <c r="M308" s="29"/>
    </row>
    <row r="309" spans="2:13" ht="20.100000000000001" hidden="1" customHeight="1" x14ac:dyDescent="0.15">
      <c r="B309" s="5">
        <v>304</v>
      </c>
      <c r="C309" s="263"/>
      <c r="D309" s="264"/>
      <c r="E309" s="7"/>
      <c r="F309" s="248"/>
      <c r="G309" s="249"/>
      <c r="H309" s="250"/>
      <c r="I309" s="245"/>
      <c r="J309" s="246"/>
      <c r="K309" s="245"/>
      <c r="L309" s="246"/>
      <c r="M309" s="29"/>
    </row>
    <row r="310" spans="2:13" ht="20.100000000000001" hidden="1" customHeight="1" x14ac:dyDescent="0.15">
      <c r="B310" s="5">
        <v>305</v>
      </c>
      <c r="C310" s="263"/>
      <c r="D310" s="264"/>
      <c r="E310" s="7"/>
      <c r="F310" s="248"/>
      <c r="G310" s="249"/>
      <c r="H310" s="250"/>
      <c r="I310" s="245"/>
      <c r="J310" s="246"/>
      <c r="K310" s="245"/>
      <c r="L310" s="246"/>
      <c r="M310" s="29"/>
    </row>
    <row r="311" spans="2:13" ht="20.100000000000001" hidden="1" customHeight="1" x14ac:dyDescent="0.15">
      <c r="B311" s="5">
        <v>306</v>
      </c>
      <c r="C311" s="263"/>
      <c r="D311" s="264"/>
      <c r="E311" s="7"/>
      <c r="F311" s="248"/>
      <c r="G311" s="249"/>
      <c r="H311" s="250"/>
      <c r="I311" s="245"/>
      <c r="J311" s="246"/>
      <c r="K311" s="245"/>
      <c r="L311" s="246"/>
      <c r="M311" s="29"/>
    </row>
    <row r="312" spans="2:13" ht="20.100000000000001" hidden="1" customHeight="1" x14ac:dyDescent="0.15">
      <c r="B312" s="5">
        <v>307</v>
      </c>
      <c r="C312" s="263"/>
      <c r="D312" s="264"/>
      <c r="E312" s="7"/>
      <c r="F312" s="248"/>
      <c r="G312" s="249"/>
      <c r="H312" s="250"/>
      <c r="I312" s="245"/>
      <c r="J312" s="246"/>
      <c r="K312" s="245"/>
      <c r="L312" s="246"/>
      <c r="M312" s="29"/>
    </row>
    <row r="313" spans="2:13" ht="20.100000000000001" hidden="1" customHeight="1" x14ac:dyDescent="0.15">
      <c r="B313" s="5">
        <v>308</v>
      </c>
      <c r="C313" s="263"/>
      <c r="D313" s="264"/>
      <c r="E313" s="7"/>
      <c r="F313" s="248"/>
      <c r="G313" s="249"/>
      <c r="H313" s="250"/>
      <c r="I313" s="245"/>
      <c r="J313" s="246"/>
      <c r="K313" s="245"/>
      <c r="L313" s="246"/>
      <c r="M313" s="29"/>
    </row>
    <row r="314" spans="2:13" ht="20.100000000000001" hidden="1" customHeight="1" x14ac:dyDescent="0.15">
      <c r="B314" s="5">
        <v>309</v>
      </c>
      <c r="C314" s="263"/>
      <c r="D314" s="264"/>
      <c r="E314" s="7"/>
      <c r="F314" s="248"/>
      <c r="G314" s="249"/>
      <c r="H314" s="250"/>
      <c r="I314" s="245"/>
      <c r="J314" s="246"/>
      <c r="K314" s="245"/>
      <c r="L314" s="246"/>
      <c r="M314" s="29"/>
    </row>
    <row r="315" spans="2:13" ht="20.100000000000001" hidden="1" customHeight="1" x14ac:dyDescent="0.15">
      <c r="B315" s="5">
        <v>310</v>
      </c>
      <c r="C315" s="263"/>
      <c r="D315" s="264"/>
      <c r="E315" s="7"/>
      <c r="F315" s="248"/>
      <c r="G315" s="249"/>
      <c r="H315" s="250"/>
      <c r="I315" s="245"/>
      <c r="J315" s="246"/>
      <c r="K315" s="245"/>
      <c r="L315" s="246"/>
      <c r="M315" s="29"/>
    </row>
    <row r="316" spans="2:13" ht="20.100000000000001" hidden="1" customHeight="1" x14ac:dyDescent="0.15">
      <c r="B316" s="5">
        <v>311</v>
      </c>
      <c r="C316" s="263"/>
      <c r="D316" s="264"/>
      <c r="E316" s="7"/>
      <c r="F316" s="248"/>
      <c r="G316" s="249"/>
      <c r="H316" s="250"/>
      <c r="I316" s="245"/>
      <c r="J316" s="246"/>
      <c r="K316" s="245"/>
      <c r="L316" s="246"/>
      <c r="M316" s="29"/>
    </row>
    <row r="317" spans="2:13" ht="20.100000000000001" hidden="1" customHeight="1" x14ac:dyDescent="0.15">
      <c r="B317" s="5">
        <v>312</v>
      </c>
      <c r="C317" s="263"/>
      <c r="D317" s="264"/>
      <c r="E317" s="7"/>
      <c r="F317" s="248"/>
      <c r="G317" s="249"/>
      <c r="H317" s="250"/>
      <c r="I317" s="245"/>
      <c r="J317" s="246"/>
      <c r="K317" s="245"/>
      <c r="L317" s="246"/>
      <c r="M317" s="29"/>
    </row>
    <row r="318" spans="2:13" ht="20.100000000000001" hidden="1" customHeight="1" x14ac:dyDescent="0.15">
      <c r="B318" s="5">
        <v>313</v>
      </c>
      <c r="C318" s="263"/>
      <c r="D318" s="264"/>
      <c r="E318" s="7"/>
      <c r="F318" s="248"/>
      <c r="G318" s="249"/>
      <c r="H318" s="250"/>
      <c r="I318" s="245"/>
      <c r="J318" s="246"/>
      <c r="K318" s="245"/>
      <c r="L318" s="246"/>
      <c r="M318" s="29"/>
    </row>
    <row r="319" spans="2:13" ht="20.100000000000001" hidden="1" customHeight="1" x14ac:dyDescent="0.15">
      <c r="B319" s="5">
        <v>314</v>
      </c>
      <c r="C319" s="263"/>
      <c r="D319" s="264"/>
      <c r="E319" s="7"/>
      <c r="F319" s="248"/>
      <c r="G319" s="249"/>
      <c r="H319" s="250"/>
      <c r="I319" s="245"/>
      <c r="J319" s="246"/>
      <c r="K319" s="245"/>
      <c r="L319" s="246"/>
      <c r="M319" s="29"/>
    </row>
    <row r="320" spans="2:13" ht="20.100000000000001" hidden="1" customHeight="1" x14ac:dyDescent="0.15">
      <c r="B320" s="5">
        <v>315</v>
      </c>
      <c r="C320" s="263"/>
      <c r="D320" s="264"/>
      <c r="E320" s="7"/>
      <c r="F320" s="248"/>
      <c r="G320" s="249"/>
      <c r="H320" s="250"/>
      <c r="I320" s="245"/>
      <c r="J320" s="246"/>
      <c r="K320" s="245"/>
      <c r="L320" s="246"/>
      <c r="M320" s="29"/>
    </row>
    <row r="321" spans="2:13" ht="20.100000000000001" hidden="1" customHeight="1" x14ac:dyDescent="0.15">
      <c r="B321" s="5">
        <v>316</v>
      </c>
      <c r="C321" s="263"/>
      <c r="D321" s="264"/>
      <c r="E321" s="7"/>
      <c r="F321" s="248"/>
      <c r="G321" s="249"/>
      <c r="H321" s="250"/>
      <c r="I321" s="245"/>
      <c r="J321" s="246"/>
      <c r="K321" s="245"/>
      <c r="L321" s="246"/>
      <c r="M321" s="29"/>
    </row>
    <row r="322" spans="2:13" ht="20.100000000000001" hidden="1" customHeight="1" x14ac:dyDescent="0.15">
      <c r="B322" s="5">
        <v>317</v>
      </c>
      <c r="C322" s="263"/>
      <c r="D322" s="264"/>
      <c r="E322" s="7"/>
      <c r="F322" s="248"/>
      <c r="G322" s="249"/>
      <c r="H322" s="250"/>
      <c r="I322" s="245"/>
      <c r="J322" s="246"/>
      <c r="K322" s="245"/>
      <c r="L322" s="246"/>
      <c r="M322" s="29"/>
    </row>
    <row r="323" spans="2:13" ht="20.100000000000001" hidden="1" customHeight="1" x14ac:dyDescent="0.15">
      <c r="B323" s="5">
        <v>318</v>
      </c>
      <c r="C323" s="263"/>
      <c r="D323" s="264"/>
      <c r="E323" s="7"/>
      <c r="F323" s="248"/>
      <c r="G323" s="249"/>
      <c r="H323" s="250"/>
      <c r="I323" s="245"/>
      <c r="J323" s="246"/>
      <c r="K323" s="245"/>
      <c r="L323" s="246"/>
      <c r="M323" s="29"/>
    </row>
    <row r="324" spans="2:13" ht="20.100000000000001" hidden="1" customHeight="1" x14ac:dyDescent="0.15">
      <c r="B324" s="5">
        <v>319</v>
      </c>
      <c r="C324" s="263"/>
      <c r="D324" s="264"/>
      <c r="E324" s="7"/>
      <c r="F324" s="248"/>
      <c r="G324" s="249"/>
      <c r="H324" s="250"/>
      <c r="I324" s="245"/>
      <c r="J324" s="246"/>
      <c r="K324" s="245"/>
      <c r="L324" s="246"/>
      <c r="M324" s="29"/>
    </row>
    <row r="325" spans="2:13" ht="20.100000000000001" hidden="1" customHeight="1" x14ac:dyDescent="0.15">
      <c r="B325" s="5">
        <v>320</v>
      </c>
      <c r="C325" s="263"/>
      <c r="D325" s="264"/>
      <c r="E325" s="7"/>
      <c r="F325" s="248"/>
      <c r="G325" s="249"/>
      <c r="H325" s="250"/>
      <c r="I325" s="245"/>
      <c r="J325" s="246"/>
      <c r="K325" s="245"/>
      <c r="L325" s="246"/>
      <c r="M325" s="29"/>
    </row>
    <row r="326" spans="2:13" ht="20.100000000000001" hidden="1" customHeight="1" x14ac:dyDescent="0.15">
      <c r="B326" s="5">
        <v>321</v>
      </c>
      <c r="C326" s="263"/>
      <c r="D326" s="264"/>
      <c r="E326" s="7"/>
      <c r="F326" s="248"/>
      <c r="G326" s="249"/>
      <c r="H326" s="250"/>
      <c r="I326" s="245"/>
      <c r="J326" s="246"/>
      <c r="K326" s="245"/>
      <c r="L326" s="246"/>
      <c r="M326" s="29"/>
    </row>
    <row r="327" spans="2:13" ht="20.100000000000001" hidden="1" customHeight="1" x14ac:dyDescent="0.15">
      <c r="B327" s="5">
        <v>322</v>
      </c>
      <c r="C327" s="263"/>
      <c r="D327" s="264"/>
      <c r="E327" s="7"/>
      <c r="F327" s="248"/>
      <c r="G327" s="249"/>
      <c r="H327" s="250"/>
      <c r="I327" s="245"/>
      <c r="J327" s="246"/>
      <c r="K327" s="245"/>
      <c r="L327" s="246"/>
      <c r="M327" s="29"/>
    </row>
    <row r="328" spans="2:13" ht="20.100000000000001" hidden="1" customHeight="1" x14ac:dyDescent="0.15">
      <c r="B328" s="5">
        <v>323</v>
      </c>
      <c r="C328" s="263"/>
      <c r="D328" s="264"/>
      <c r="E328" s="7"/>
      <c r="F328" s="248"/>
      <c r="G328" s="249"/>
      <c r="H328" s="250"/>
      <c r="I328" s="245"/>
      <c r="J328" s="246"/>
      <c r="K328" s="245"/>
      <c r="L328" s="246"/>
      <c r="M328" s="29"/>
    </row>
    <row r="329" spans="2:13" ht="20.100000000000001" hidden="1" customHeight="1" x14ac:dyDescent="0.15">
      <c r="B329" s="5">
        <v>324</v>
      </c>
      <c r="C329" s="263"/>
      <c r="D329" s="264"/>
      <c r="E329" s="7"/>
      <c r="F329" s="248"/>
      <c r="G329" s="249"/>
      <c r="H329" s="250"/>
      <c r="I329" s="245"/>
      <c r="J329" s="246"/>
      <c r="K329" s="245"/>
      <c r="L329" s="246"/>
      <c r="M329" s="29"/>
    </row>
    <row r="330" spans="2:13" ht="20.100000000000001" hidden="1" customHeight="1" x14ac:dyDescent="0.15">
      <c r="B330" s="5">
        <v>325</v>
      </c>
      <c r="C330" s="263"/>
      <c r="D330" s="264"/>
      <c r="E330" s="7"/>
      <c r="F330" s="248"/>
      <c r="G330" s="249"/>
      <c r="H330" s="250"/>
      <c r="I330" s="245"/>
      <c r="J330" s="246"/>
      <c r="K330" s="245"/>
      <c r="L330" s="246"/>
      <c r="M330" s="29"/>
    </row>
    <row r="331" spans="2:13" ht="20.100000000000001" hidden="1" customHeight="1" x14ac:dyDescent="0.15">
      <c r="B331" s="5">
        <v>326</v>
      </c>
      <c r="C331" s="263"/>
      <c r="D331" s="264"/>
      <c r="E331" s="7"/>
      <c r="F331" s="248"/>
      <c r="G331" s="249"/>
      <c r="H331" s="250"/>
      <c r="I331" s="245"/>
      <c r="J331" s="246"/>
      <c r="K331" s="245"/>
      <c r="L331" s="246"/>
      <c r="M331" s="29"/>
    </row>
    <row r="332" spans="2:13" ht="20.100000000000001" hidden="1" customHeight="1" x14ac:dyDescent="0.15">
      <c r="B332" s="5">
        <v>327</v>
      </c>
      <c r="C332" s="263"/>
      <c r="D332" s="264"/>
      <c r="E332" s="7"/>
      <c r="F332" s="248"/>
      <c r="G332" s="249"/>
      <c r="H332" s="250"/>
      <c r="I332" s="245"/>
      <c r="J332" s="246"/>
      <c r="K332" s="245"/>
      <c r="L332" s="246"/>
      <c r="M332" s="29"/>
    </row>
    <row r="333" spans="2:13" ht="20.100000000000001" hidden="1" customHeight="1" x14ac:dyDescent="0.15">
      <c r="B333" s="5">
        <v>328</v>
      </c>
      <c r="C333" s="263"/>
      <c r="D333" s="264"/>
      <c r="E333" s="7"/>
      <c r="F333" s="248"/>
      <c r="G333" s="249"/>
      <c r="H333" s="250"/>
      <c r="I333" s="245"/>
      <c r="J333" s="246"/>
      <c r="K333" s="245"/>
      <c r="L333" s="246"/>
      <c r="M333" s="29"/>
    </row>
    <row r="334" spans="2:13" ht="20.100000000000001" hidden="1" customHeight="1" x14ac:dyDescent="0.15">
      <c r="B334" s="5">
        <v>329</v>
      </c>
      <c r="C334" s="263"/>
      <c r="D334" s="264"/>
      <c r="E334" s="7"/>
      <c r="F334" s="248"/>
      <c r="G334" s="249"/>
      <c r="H334" s="250"/>
      <c r="I334" s="245"/>
      <c r="J334" s="246"/>
      <c r="K334" s="245"/>
      <c r="L334" s="246"/>
      <c r="M334" s="29"/>
    </row>
    <row r="335" spans="2:13" ht="20.100000000000001" hidden="1" customHeight="1" x14ac:dyDescent="0.15">
      <c r="B335" s="5">
        <v>330</v>
      </c>
      <c r="C335" s="263"/>
      <c r="D335" s="264"/>
      <c r="E335" s="7"/>
      <c r="F335" s="248"/>
      <c r="G335" s="249"/>
      <c r="H335" s="250"/>
      <c r="I335" s="245"/>
      <c r="J335" s="246"/>
      <c r="K335" s="245"/>
      <c r="L335" s="246"/>
      <c r="M335" s="29"/>
    </row>
    <row r="336" spans="2:13" ht="20.100000000000001" hidden="1" customHeight="1" x14ac:dyDescent="0.15">
      <c r="B336" s="5">
        <v>331</v>
      </c>
      <c r="C336" s="263"/>
      <c r="D336" s="264"/>
      <c r="E336" s="7"/>
      <c r="F336" s="248"/>
      <c r="G336" s="249"/>
      <c r="H336" s="250"/>
      <c r="I336" s="245"/>
      <c r="J336" s="246"/>
      <c r="K336" s="245"/>
      <c r="L336" s="246"/>
      <c r="M336" s="29"/>
    </row>
    <row r="337" spans="2:13" ht="20.100000000000001" hidden="1" customHeight="1" x14ac:dyDescent="0.15">
      <c r="B337" s="5">
        <v>332</v>
      </c>
      <c r="C337" s="263"/>
      <c r="D337" s="264"/>
      <c r="E337" s="7"/>
      <c r="F337" s="248"/>
      <c r="G337" s="249"/>
      <c r="H337" s="250"/>
      <c r="I337" s="245"/>
      <c r="J337" s="246"/>
      <c r="K337" s="245"/>
      <c r="L337" s="246"/>
      <c r="M337" s="29"/>
    </row>
    <row r="338" spans="2:13" ht="20.100000000000001" hidden="1" customHeight="1" x14ac:dyDescent="0.15">
      <c r="B338" s="5">
        <v>333</v>
      </c>
      <c r="C338" s="263"/>
      <c r="D338" s="264"/>
      <c r="E338" s="7"/>
      <c r="F338" s="248"/>
      <c r="G338" s="249"/>
      <c r="H338" s="250"/>
      <c r="I338" s="245"/>
      <c r="J338" s="246"/>
      <c r="K338" s="245"/>
      <c r="L338" s="246"/>
      <c r="M338" s="29"/>
    </row>
    <row r="339" spans="2:13" ht="20.100000000000001" hidden="1" customHeight="1" x14ac:dyDescent="0.15">
      <c r="B339" s="5">
        <v>334</v>
      </c>
      <c r="C339" s="263"/>
      <c r="D339" s="264"/>
      <c r="E339" s="7"/>
      <c r="F339" s="248"/>
      <c r="G339" s="249"/>
      <c r="H339" s="250"/>
      <c r="I339" s="245"/>
      <c r="J339" s="246"/>
      <c r="K339" s="245"/>
      <c r="L339" s="246"/>
      <c r="M339" s="29"/>
    </row>
    <row r="340" spans="2:13" ht="20.100000000000001" hidden="1" customHeight="1" x14ac:dyDescent="0.15">
      <c r="B340" s="5">
        <v>335</v>
      </c>
      <c r="C340" s="263"/>
      <c r="D340" s="264"/>
      <c r="E340" s="7"/>
      <c r="F340" s="248"/>
      <c r="G340" s="249"/>
      <c r="H340" s="250"/>
      <c r="I340" s="245"/>
      <c r="J340" s="246"/>
      <c r="K340" s="245"/>
      <c r="L340" s="246"/>
      <c r="M340" s="29"/>
    </row>
    <row r="341" spans="2:13" ht="20.100000000000001" hidden="1" customHeight="1" x14ac:dyDescent="0.15">
      <c r="B341" s="5">
        <v>336</v>
      </c>
      <c r="C341" s="263"/>
      <c r="D341" s="264"/>
      <c r="E341" s="7"/>
      <c r="F341" s="248"/>
      <c r="G341" s="249"/>
      <c r="H341" s="250"/>
      <c r="I341" s="245"/>
      <c r="J341" s="246"/>
      <c r="K341" s="245"/>
      <c r="L341" s="246"/>
      <c r="M341" s="29"/>
    </row>
    <row r="342" spans="2:13" ht="20.100000000000001" hidden="1" customHeight="1" x14ac:dyDescent="0.15">
      <c r="B342" s="5">
        <v>337</v>
      </c>
      <c r="C342" s="263"/>
      <c r="D342" s="264"/>
      <c r="E342" s="7"/>
      <c r="F342" s="248"/>
      <c r="G342" s="249"/>
      <c r="H342" s="250"/>
      <c r="I342" s="245"/>
      <c r="J342" s="246"/>
      <c r="K342" s="245"/>
      <c r="L342" s="246"/>
      <c r="M342" s="29"/>
    </row>
    <row r="343" spans="2:13" ht="20.100000000000001" hidden="1" customHeight="1" x14ac:dyDescent="0.15">
      <c r="B343" s="5">
        <v>338</v>
      </c>
      <c r="C343" s="263"/>
      <c r="D343" s="264"/>
      <c r="E343" s="7"/>
      <c r="F343" s="248"/>
      <c r="G343" s="249"/>
      <c r="H343" s="250"/>
      <c r="I343" s="245"/>
      <c r="J343" s="246"/>
      <c r="K343" s="245"/>
      <c r="L343" s="246"/>
      <c r="M343" s="29"/>
    </row>
    <row r="344" spans="2:13" ht="20.100000000000001" hidden="1" customHeight="1" x14ac:dyDescent="0.15">
      <c r="B344" s="5">
        <v>339</v>
      </c>
      <c r="C344" s="263"/>
      <c r="D344" s="264"/>
      <c r="E344" s="7"/>
      <c r="F344" s="248"/>
      <c r="G344" s="249"/>
      <c r="H344" s="250"/>
      <c r="I344" s="245"/>
      <c r="J344" s="246"/>
      <c r="K344" s="245"/>
      <c r="L344" s="246"/>
      <c r="M344" s="29"/>
    </row>
    <row r="345" spans="2:13" ht="20.100000000000001" hidden="1" customHeight="1" x14ac:dyDescent="0.15">
      <c r="B345" s="5">
        <v>340</v>
      </c>
      <c r="C345" s="263"/>
      <c r="D345" s="264"/>
      <c r="E345" s="7"/>
      <c r="F345" s="248"/>
      <c r="G345" s="249"/>
      <c r="H345" s="250"/>
      <c r="I345" s="245"/>
      <c r="J345" s="246"/>
      <c r="K345" s="245"/>
      <c r="L345" s="246"/>
      <c r="M345" s="29"/>
    </row>
    <row r="346" spans="2:13" ht="20.100000000000001" hidden="1" customHeight="1" x14ac:dyDescent="0.15">
      <c r="B346" s="5">
        <v>341</v>
      </c>
      <c r="C346" s="263"/>
      <c r="D346" s="264"/>
      <c r="E346" s="7"/>
      <c r="F346" s="248"/>
      <c r="G346" s="249"/>
      <c r="H346" s="250"/>
      <c r="I346" s="245"/>
      <c r="J346" s="246"/>
      <c r="K346" s="245"/>
      <c r="L346" s="246"/>
      <c r="M346" s="29"/>
    </row>
    <row r="347" spans="2:13" ht="20.100000000000001" hidden="1" customHeight="1" x14ac:dyDescent="0.15">
      <c r="B347" s="5">
        <v>342</v>
      </c>
      <c r="C347" s="263"/>
      <c r="D347" s="264"/>
      <c r="E347" s="7"/>
      <c r="F347" s="248"/>
      <c r="G347" s="249"/>
      <c r="H347" s="250"/>
      <c r="I347" s="245"/>
      <c r="J347" s="246"/>
      <c r="K347" s="245"/>
      <c r="L347" s="246"/>
      <c r="M347" s="29"/>
    </row>
    <row r="348" spans="2:13" ht="20.100000000000001" hidden="1" customHeight="1" x14ac:dyDescent="0.15">
      <c r="B348" s="5">
        <v>343</v>
      </c>
      <c r="C348" s="263"/>
      <c r="D348" s="264"/>
      <c r="E348" s="7"/>
      <c r="F348" s="248"/>
      <c r="G348" s="249"/>
      <c r="H348" s="250"/>
      <c r="I348" s="245"/>
      <c r="J348" s="246"/>
      <c r="K348" s="245"/>
      <c r="L348" s="246"/>
      <c r="M348" s="29"/>
    </row>
    <row r="349" spans="2:13" ht="20.100000000000001" hidden="1" customHeight="1" x14ac:dyDescent="0.15">
      <c r="B349" s="5">
        <v>344</v>
      </c>
      <c r="C349" s="263"/>
      <c r="D349" s="264"/>
      <c r="E349" s="7"/>
      <c r="F349" s="248"/>
      <c r="G349" s="249"/>
      <c r="H349" s="250"/>
      <c r="I349" s="245"/>
      <c r="J349" s="246"/>
      <c r="K349" s="245"/>
      <c r="L349" s="246"/>
      <c r="M349" s="29"/>
    </row>
    <row r="350" spans="2:13" ht="20.100000000000001" hidden="1" customHeight="1" x14ac:dyDescent="0.15">
      <c r="B350" s="5">
        <v>345</v>
      </c>
      <c r="C350" s="263"/>
      <c r="D350" s="264"/>
      <c r="E350" s="7"/>
      <c r="F350" s="248"/>
      <c r="G350" s="249"/>
      <c r="H350" s="250"/>
      <c r="I350" s="245"/>
      <c r="J350" s="246"/>
      <c r="K350" s="245"/>
      <c r="L350" s="246"/>
      <c r="M350" s="29"/>
    </row>
    <row r="351" spans="2:13" ht="20.100000000000001" hidden="1" customHeight="1" x14ac:dyDescent="0.15">
      <c r="B351" s="5">
        <v>346</v>
      </c>
      <c r="C351" s="263"/>
      <c r="D351" s="264"/>
      <c r="E351" s="7"/>
      <c r="F351" s="248"/>
      <c r="G351" s="249"/>
      <c r="H351" s="250"/>
      <c r="I351" s="245"/>
      <c r="J351" s="246"/>
      <c r="K351" s="245"/>
      <c r="L351" s="246"/>
      <c r="M351" s="29"/>
    </row>
    <row r="352" spans="2:13" ht="20.100000000000001" hidden="1" customHeight="1" x14ac:dyDescent="0.15">
      <c r="B352" s="5">
        <v>347</v>
      </c>
      <c r="C352" s="263"/>
      <c r="D352" s="264"/>
      <c r="E352" s="7"/>
      <c r="F352" s="248"/>
      <c r="G352" s="249"/>
      <c r="H352" s="250"/>
      <c r="I352" s="245"/>
      <c r="J352" s="246"/>
      <c r="K352" s="245"/>
      <c r="L352" s="246"/>
      <c r="M352" s="29"/>
    </row>
    <row r="353" spans="2:13" ht="20.100000000000001" hidden="1" customHeight="1" x14ac:dyDescent="0.15">
      <c r="B353" s="5">
        <v>348</v>
      </c>
      <c r="C353" s="263"/>
      <c r="D353" s="264"/>
      <c r="E353" s="7"/>
      <c r="F353" s="248"/>
      <c r="G353" s="249"/>
      <c r="H353" s="250"/>
      <c r="I353" s="245"/>
      <c r="J353" s="246"/>
      <c r="K353" s="245"/>
      <c r="L353" s="246"/>
      <c r="M353" s="29"/>
    </row>
    <row r="354" spans="2:13" ht="20.100000000000001" hidden="1" customHeight="1" x14ac:dyDescent="0.15">
      <c r="B354" s="5">
        <v>349</v>
      </c>
      <c r="C354" s="263"/>
      <c r="D354" s="264"/>
      <c r="E354" s="7"/>
      <c r="F354" s="248"/>
      <c r="G354" s="249"/>
      <c r="H354" s="250"/>
      <c r="I354" s="245"/>
      <c r="J354" s="246"/>
      <c r="K354" s="245"/>
      <c r="L354" s="246"/>
      <c r="M354" s="29"/>
    </row>
    <row r="355" spans="2:13" ht="20.100000000000001" hidden="1" customHeight="1" x14ac:dyDescent="0.15">
      <c r="B355" s="5">
        <v>350</v>
      </c>
      <c r="C355" s="263"/>
      <c r="D355" s="264"/>
      <c r="E355" s="7"/>
      <c r="F355" s="248"/>
      <c r="G355" s="249"/>
      <c r="H355" s="250"/>
      <c r="I355" s="245"/>
      <c r="J355" s="246"/>
      <c r="K355" s="245"/>
      <c r="L355" s="246"/>
      <c r="M355" s="29"/>
    </row>
    <row r="356" spans="2:13" ht="20.100000000000001" hidden="1" customHeight="1" x14ac:dyDescent="0.15">
      <c r="B356" s="5">
        <v>351</v>
      </c>
      <c r="C356" s="263"/>
      <c r="D356" s="264"/>
      <c r="E356" s="7"/>
      <c r="F356" s="248"/>
      <c r="G356" s="249"/>
      <c r="H356" s="250"/>
      <c r="I356" s="245"/>
      <c r="J356" s="246"/>
      <c r="K356" s="245"/>
      <c r="L356" s="246"/>
      <c r="M356" s="29"/>
    </row>
    <row r="357" spans="2:13" ht="20.100000000000001" hidden="1" customHeight="1" x14ac:dyDescent="0.15">
      <c r="B357" s="5">
        <v>352</v>
      </c>
      <c r="C357" s="263"/>
      <c r="D357" s="264"/>
      <c r="E357" s="7"/>
      <c r="F357" s="248"/>
      <c r="G357" s="249"/>
      <c r="H357" s="250"/>
      <c r="I357" s="245"/>
      <c r="J357" s="246"/>
      <c r="K357" s="245"/>
      <c r="L357" s="246"/>
      <c r="M357" s="29"/>
    </row>
    <row r="358" spans="2:13" ht="20.100000000000001" hidden="1" customHeight="1" x14ac:dyDescent="0.15">
      <c r="B358" s="5">
        <v>353</v>
      </c>
      <c r="C358" s="263"/>
      <c r="D358" s="264"/>
      <c r="E358" s="7"/>
      <c r="F358" s="248"/>
      <c r="G358" s="249"/>
      <c r="H358" s="250"/>
      <c r="I358" s="245"/>
      <c r="J358" s="246"/>
      <c r="K358" s="245"/>
      <c r="L358" s="246"/>
      <c r="M358" s="29"/>
    </row>
    <row r="359" spans="2:13" ht="20.100000000000001" hidden="1" customHeight="1" x14ac:dyDescent="0.15">
      <c r="B359" s="5">
        <v>354</v>
      </c>
      <c r="C359" s="263"/>
      <c r="D359" s="264"/>
      <c r="E359" s="7"/>
      <c r="F359" s="248"/>
      <c r="G359" s="249"/>
      <c r="H359" s="250"/>
      <c r="I359" s="245"/>
      <c r="J359" s="246"/>
      <c r="K359" s="245"/>
      <c r="L359" s="246"/>
      <c r="M359" s="29"/>
    </row>
    <row r="360" spans="2:13" ht="20.100000000000001" hidden="1" customHeight="1" x14ac:dyDescent="0.15">
      <c r="B360" s="5">
        <v>355</v>
      </c>
      <c r="C360" s="263"/>
      <c r="D360" s="264"/>
      <c r="E360" s="7"/>
      <c r="F360" s="248"/>
      <c r="G360" s="249"/>
      <c r="H360" s="250"/>
      <c r="I360" s="245"/>
      <c r="J360" s="246"/>
      <c r="K360" s="245"/>
      <c r="L360" s="246"/>
      <c r="M360" s="29"/>
    </row>
    <row r="361" spans="2:13" ht="20.100000000000001" hidden="1" customHeight="1" x14ac:dyDescent="0.15">
      <c r="B361" s="5">
        <v>356</v>
      </c>
      <c r="C361" s="263"/>
      <c r="D361" s="264"/>
      <c r="E361" s="7"/>
      <c r="F361" s="248"/>
      <c r="G361" s="249"/>
      <c r="H361" s="250"/>
      <c r="I361" s="245"/>
      <c r="J361" s="246"/>
      <c r="K361" s="245"/>
      <c r="L361" s="246"/>
      <c r="M361" s="29"/>
    </row>
    <row r="362" spans="2:13" ht="20.100000000000001" hidden="1" customHeight="1" x14ac:dyDescent="0.15">
      <c r="B362" s="5">
        <v>357</v>
      </c>
      <c r="C362" s="263"/>
      <c r="D362" s="264"/>
      <c r="E362" s="7"/>
      <c r="F362" s="248"/>
      <c r="G362" s="249"/>
      <c r="H362" s="250"/>
      <c r="I362" s="245"/>
      <c r="J362" s="246"/>
      <c r="K362" s="245"/>
      <c r="L362" s="246"/>
      <c r="M362" s="29"/>
    </row>
    <row r="363" spans="2:13" ht="20.100000000000001" hidden="1" customHeight="1" x14ac:dyDescent="0.15">
      <c r="B363" s="5">
        <v>358</v>
      </c>
      <c r="C363" s="263"/>
      <c r="D363" s="264"/>
      <c r="E363" s="7"/>
      <c r="F363" s="248"/>
      <c r="G363" s="249"/>
      <c r="H363" s="250"/>
      <c r="I363" s="245"/>
      <c r="J363" s="246"/>
      <c r="K363" s="245"/>
      <c r="L363" s="246"/>
      <c r="M363" s="29"/>
    </row>
    <row r="364" spans="2:13" ht="20.100000000000001" hidden="1" customHeight="1" x14ac:dyDescent="0.15">
      <c r="B364" s="5">
        <v>359</v>
      </c>
      <c r="C364" s="263"/>
      <c r="D364" s="264"/>
      <c r="E364" s="7"/>
      <c r="F364" s="248"/>
      <c r="G364" s="249"/>
      <c r="H364" s="250"/>
      <c r="I364" s="245"/>
      <c r="J364" s="246"/>
      <c r="K364" s="245"/>
      <c r="L364" s="246"/>
      <c r="M364" s="29"/>
    </row>
    <row r="365" spans="2:13" ht="20.100000000000001" hidden="1" customHeight="1" x14ac:dyDescent="0.15">
      <c r="B365" s="5">
        <v>360</v>
      </c>
      <c r="C365" s="263"/>
      <c r="D365" s="264"/>
      <c r="E365" s="7"/>
      <c r="F365" s="248"/>
      <c r="G365" s="249"/>
      <c r="H365" s="250"/>
      <c r="I365" s="245"/>
      <c r="J365" s="246"/>
      <c r="K365" s="245"/>
      <c r="L365" s="246"/>
      <c r="M365" s="29"/>
    </row>
    <row r="366" spans="2:13" ht="20.100000000000001" hidden="1" customHeight="1" x14ac:dyDescent="0.15">
      <c r="B366" s="5">
        <v>361</v>
      </c>
      <c r="C366" s="263"/>
      <c r="D366" s="264"/>
      <c r="E366" s="7"/>
      <c r="F366" s="248"/>
      <c r="G366" s="249"/>
      <c r="H366" s="250"/>
      <c r="I366" s="245"/>
      <c r="J366" s="246"/>
      <c r="K366" s="245"/>
      <c r="L366" s="246"/>
      <c r="M366" s="29"/>
    </row>
    <row r="367" spans="2:13" ht="20.100000000000001" hidden="1" customHeight="1" x14ac:dyDescent="0.15">
      <c r="B367" s="5">
        <v>362</v>
      </c>
      <c r="C367" s="263"/>
      <c r="D367" s="264"/>
      <c r="E367" s="7"/>
      <c r="F367" s="248"/>
      <c r="G367" s="249"/>
      <c r="H367" s="250"/>
      <c r="I367" s="245"/>
      <c r="J367" s="246"/>
      <c r="K367" s="245"/>
      <c r="L367" s="246"/>
      <c r="M367" s="29"/>
    </row>
    <row r="368" spans="2:13" ht="20.100000000000001" hidden="1" customHeight="1" x14ac:dyDescent="0.15">
      <c r="B368" s="5">
        <v>363</v>
      </c>
      <c r="C368" s="263"/>
      <c r="D368" s="264"/>
      <c r="E368" s="7"/>
      <c r="F368" s="248"/>
      <c r="G368" s="249"/>
      <c r="H368" s="250"/>
      <c r="I368" s="245"/>
      <c r="J368" s="246"/>
      <c r="K368" s="245"/>
      <c r="L368" s="246"/>
      <c r="M368" s="29"/>
    </row>
    <row r="369" spans="2:13" ht="20.100000000000001" hidden="1" customHeight="1" x14ac:dyDescent="0.15">
      <c r="B369" s="5">
        <v>364</v>
      </c>
      <c r="C369" s="263"/>
      <c r="D369" s="264"/>
      <c r="E369" s="7"/>
      <c r="F369" s="248"/>
      <c r="G369" s="249"/>
      <c r="H369" s="250"/>
      <c r="I369" s="245"/>
      <c r="J369" s="246"/>
      <c r="K369" s="245"/>
      <c r="L369" s="246"/>
      <c r="M369" s="29"/>
    </row>
    <row r="370" spans="2:13" ht="20.100000000000001" hidden="1" customHeight="1" x14ac:dyDescent="0.15">
      <c r="B370" s="5">
        <v>365</v>
      </c>
      <c r="C370" s="263"/>
      <c r="D370" s="264"/>
      <c r="E370" s="7"/>
      <c r="F370" s="248"/>
      <c r="G370" s="249"/>
      <c r="H370" s="250"/>
      <c r="I370" s="245"/>
      <c r="J370" s="246"/>
      <c r="K370" s="245"/>
      <c r="L370" s="246"/>
      <c r="M370" s="29"/>
    </row>
    <row r="371" spans="2:13" ht="20.100000000000001" hidden="1" customHeight="1" x14ac:dyDescent="0.15">
      <c r="B371" s="5">
        <v>366</v>
      </c>
      <c r="C371" s="263"/>
      <c r="D371" s="264"/>
      <c r="E371" s="7"/>
      <c r="F371" s="248"/>
      <c r="G371" s="249"/>
      <c r="H371" s="250"/>
      <c r="I371" s="245"/>
      <c r="J371" s="246"/>
      <c r="K371" s="245"/>
      <c r="L371" s="246"/>
      <c r="M371" s="29"/>
    </row>
    <row r="372" spans="2:13" ht="20.100000000000001" hidden="1" customHeight="1" x14ac:dyDescent="0.15">
      <c r="B372" s="5">
        <v>367</v>
      </c>
      <c r="C372" s="263"/>
      <c r="D372" s="264"/>
      <c r="E372" s="7"/>
      <c r="F372" s="248"/>
      <c r="G372" s="249"/>
      <c r="H372" s="250"/>
      <c r="I372" s="245"/>
      <c r="J372" s="246"/>
      <c r="K372" s="245"/>
      <c r="L372" s="246"/>
      <c r="M372" s="29"/>
    </row>
    <row r="373" spans="2:13" ht="20.100000000000001" hidden="1" customHeight="1" x14ac:dyDescent="0.15">
      <c r="B373" s="5">
        <v>368</v>
      </c>
      <c r="C373" s="263"/>
      <c r="D373" s="264"/>
      <c r="E373" s="7"/>
      <c r="F373" s="248"/>
      <c r="G373" s="249"/>
      <c r="H373" s="250"/>
      <c r="I373" s="245"/>
      <c r="J373" s="246"/>
      <c r="K373" s="245"/>
      <c r="L373" s="246"/>
      <c r="M373" s="29"/>
    </row>
    <row r="374" spans="2:13" ht="20.100000000000001" hidden="1" customHeight="1" x14ac:dyDescent="0.15">
      <c r="B374" s="5">
        <v>369</v>
      </c>
      <c r="C374" s="263"/>
      <c r="D374" s="264"/>
      <c r="E374" s="7"/>
      <c r="F374" s="248"/>
      <c r="G374" s="249"/>
      <c r="H374" s="250"/>
      <c r="I374" s="245"/>
      <c r="J374" s="246"/>
      <c r="K374" s="245"/>
      <c r="L374" s="246"/>
      <c r="M374" s="29"/>
    </row>
    <row r="375" spans="2:13" ht="20.100000000000001" hidden="1" customHeight="1" x14ac:dyDescent="0.15">
      <c r="B375" s="5">
        <v>370</v>
      </c>
      <c r="C375" s="263"/>
      <c r="D375" s="264"/>
      <c r="E375" s="7"/>
      <c r="F375" s="248"/>
      <c r="G375" s="249"/>
      <c r="H375" s="250"/>
      <c r="I375" s="245"/>
      <c r="J375" s="246"/>
      <c r="K375" s="245"/>
      <c r="L375" s="246"/>
      <c r="M375" s="29"/>
    </row>
    <row r="376" spans="2:13" ht="20.100000000000001" hidden="1" customHeight="1" x14ac:dyDescent="0.15">
      <c r="B376" s="5">
        <v>371</v>
      </c>
      <c r="C376" s="263"/>
      <c r="D376" s="264"/>
      <c r="E376" s="7"/>
      <c r="F376" s="248"/>
      <c r="G376" s="249"/>
      <c r="H376" s="250"/>
      <c r="I376" s="245"/>
      <c r="J376" s="246"/>
      <c r="K376" s="245"/>
      <c r="L376" s="246"/>
      <c r="M376" s="29"/>
    </row>
    <row r="377" spans="2:13" ht="20.100000000000001" hidden="1" customHeight="1" x14ac:dyDescent="0.15">
      <c r="B377" s="5">
        <v>372</v>
      </c>
      <c r="C377" s="263"/>
      <c r="D377" s="264"/>
      <c r="E377" s="7"/>
      <c r="F377" s="248"/>
      <c r="G377" s="249"/>
      <c r="H377" s="250"/>
      <c r="I377" s="245"/>
      <c r="J377" s="246"/>
      <c r="K377" s="245"/>
      <c r="L377" s="246"/>
      <c r="M377" s="29"/>
    </row>
    <row r="378" spans="2:13" ht="20.100000000000001" hidden="1" customHeight="1" x14ac:dyDescent="0.15">
      <c r="B378" s="5">
        <v>373</v>
      </c>
      <c r="C378" s="263"/>
      <c r="D378" s="264"/>
      <c r="E378" s="7"/>
      <c r="F378" s="248"/>
      <c r="G378" s="249"/>
      <c r="H378" s="250"/>
      <c r="I378" s="245"/>
      <c r="J378" s="246"/>
      <c r="K378" s="245"/>
      <c r="L378" s="246"/>
      <c r="M378" s="29"/>
    </row>
    <row r="379" spans="2:13" ht="20.100000000000001" hidden="1" customHeight="1" x14ac:dyDescent="0.15">
      <c r="B379" s="5">
        <v>374</v>
      </c>
      <c r="C379" s="263"/>
      <c r="D379" s="264"/>
      <c r="E379" s="7"/>
      <c r="F379" s="248"/>
      <c r="G379" s="249"/>
      <c r="H379" s="250"/>
      <c r="I379" s="245"/>
      <c r="J379" s="246"/>
      <c r="K379" s="245"/>
      <c r="L379" s="246"/>
      <c r="M379" s="29"/>
    </row>
    <row r="380" spans="2:13" ht="20.100000000000001" hidden="1" customHeight="1" x14ac:dyDescent="0.15">
      <c r="B380" s="5">
        <v>375</v>
      </c>
      <c r="C380" s="263"/>
      <c r="D380" s="264"/>
      <c r="E380" s="7"/>
      <c r="F380" s="248"/>
      <c r="G380" s="249"/>
      <c r="H380" s="250"/>
      <c r="I380" s="245"/>
      <c r="J380" s="246"/>
      <c r="K380" s="245"/>
      <c r="L380" s="246"/>
      <c r="M380" s="29"/>
    </row>
    <row r="381" spans="2:13" ht="20.100000000000001" hidden="1" customHeight="1" x14ac:dyDescent="0.15">
      <c r="B381" s="5">
        <v>376</v>
      </c>
      <c r="C381" s="263"/>
      <c r="D381" s="264"/>
      <c r="E381" s="7"/>
      <c r="F381" s="248"/>
      <c r="G381" s="249"/>
      <c r="H381" s="250"/>
      <c r="I381" s="245"/>
      <c r="J381" s="246"/>
      <c r="K381" s="245"/>
      <c r="L381" s="246"/>
      <c r="M381" s="29"/>
    </row>
    <row r="382" spans="2:13" ht="20.100000000000001" hidden="1" customHeight="1" x14ac:dyDescent="0.15">
      <c r="B382" s="5">
        <v>377</v>
      </c>
      <c r="C382" s="263"/>
      <c r="D382" s="264"/>
      <c r="E382" s="7"/>
      <c r="F382" s="248"/>
      <c r="G382" s="249"/>
      <c r="H382" s="250"/>
      <c r="I382" s="245"/>
      <c r="J382" s="246"/>
      <c r="K382" s="245"/>
      <c r="L382" s="246"/>
      <c r="M382" s="29"/>
    </row>
    <row r="383" spans="2:13" ht="20.100000000000001" hidden="1" customHeight="1" x14ac:dyDescent="0.15">
      <c r="B383" s="5">
        <v>378</v>
      </c>
      <c r="C383" s="263"/>
      <c r="D383" s="264"/>
      <c r="E383" s="7"/>
      <c r="F383" s="248"/>
      <c r="G383" s="249"/>
      <c r="H383" s="250"/>
      <c r="I383" s="245"/>
      <c r="J383" s="246"/>
      <c r="K383" s="245"/>
      <c r="L383" s="246"/>
      <c r="M383" s="29"/>
    </row>
    <row r="384" spans="2:13" ht="20.100000000000001" hidden="1" customHeight="1" x14ac:dyDescent="0.15">
      <c r="B384" s="5">
        <v>379</v>
      </c>
      <c r="C384" s="263"/>
      <c r="D384" s="264"/>
      <c r="E384" s="7"/>
      <c r="F384" s="248"/>
      <c r="G384" s="249"/>
      <c r="H384" s="250"/>
      <c r="I384" s="245"/>
      <c r="J384" s="246"/>
      <c r="K384" s="245"/>
      <c r="L384" s="246"/>
      <c r="M384" s="29"/>
    </row>
    <row r="385" spans="2:13" ht="20.100000000000001" hidden="1" customHeight="1" x14ac:dyDescent="0.15">
      <c r="B385" s="5">
        <v>380</v>
      </c>
      <c r="C385" s="263"/>
      <c r="D385" s="264"/>
      <c r="E385" s="7"/>
      <c r="F385" s="248"/>
      <c r="G385" s="249"/>
      <c r="H385" s="250"/>
      <c r="I385" s="245"/>
      <c r="J385" s="246"/>
      <c r="K385" s="245"/>
      <c r="L385" s="246"/>
      <c r="M385" s="29"/>
    </row>
    <row r="386" spans="2:13" ht="20.100000000000001" hidden="1" customHeight="1" x14ac:dyDescent="0.15">
      <c r="B386" s="5">
        <v>381</v>
      </c>
      <c r="C386" s="263"/>
      <c r="D386" s="264"/>
      <c r="E386" s="7"/>
      <c r="F386" s="248"/>
      <c r="G386" s="249"/>
      <c r="H386" s="250"/>
      <c r="I386" s="245"/>
      <c r="J386" s="246"/>
      <c r="K386" s="245"/>
      <c r="L386" s="246"/>
      <c r="M386" s="29"/>
    </row>
    <row r="387" spans="2:13" ht="20.100000000000001" hidden="1" customHeight="1" x14ac:dyDescent="0.15">
      <c r="B387" s="5">
        <v>382</v>
      </c>
      <c r="C387" s="263"/>
      <c r="D387" s="264"/>
      <c r="E387" s="7"/>
      <c r="F387" s="248"/>
      <c r="G387" s="249"/>
      <c r="H387" s="250"/>
      <c r="I387" s="245"/>
      <c r="J387" s="246"/>
      <c r="K387" s="245"/>
      <c r="L387" s="246"/>
      <c r="M387" s="29"/>
    </row>
    <row r="388" spans="2:13" ht="20.100000000000001" hidden="1" customHeight="1" x14ac:dyDescent="0.15">
      <c r="B388" s="5">
        <v>383</v>
      </c>
      <c r="C388" s="263"/>
      <c r="D388" s="264"/>
      <c r="E388" s="7"/>
      <c r="F388" s="248"/>
      <c r="G388" s="249"/>
      <c r="H388" s="250"/>
      <c r="I388" s="245"/>
      <c r="J388" s="246"/>
      <c r="K388" s="245"/>
      <c r="L388" s="246"/>
      <c r="M388" s="29"/>
    </row>
    <row r="389" spans="2:13" ht="20.100000000000001" hidden="1" customHeight="1" x14ac:dyDescent="0.15">
      <c r="B389" s="5">
        <v>384</v>
      </c>
      <c r="C389" s="263"/>
      <c r="D389" s="264"/>
      <c r="E389" s="7"/>
      <c r="F389" s="248"/>
      <c r="G389" s="249"/>
      <c r="H389" s="250"/>
      <c r="I389" s="245"/>
      <c r="J389" s="246"/>
      <c r="K389" s="245"/>
      <c r="L389" s="246"/>
      <c r="M389" s="29"/>
    </row>
    <row r="390" spans="2:13" ht="20.100000000000001" hidden="1" customHeight="1" x14ac:dyDescent="0.15">
      <c r="B390" s="5">
        <v>385</v>
      </c>
      <c r="C390" s="263"/>
      <c r="D390" s="264"/>
      <c r="E390" s="7"/>
      <c r="F390" s="248"/>
      <c r="G390" s="249"/>
      <c r="H390" s="250"/>
      <c r="I390" s="245"/>
      <c r="J390" s="246"/>
      <c r="K390" s="245"/>
      <c r="L390" s="246"/>
      <c r="M390" s="29"/>
    </row>
    <row r="391" spans="2:13" ht="20.100000000000001" hidden="1" customHeight="1" x14ac:dyDescent="0.15">
      <c r="B391" s="5">
        <v>386</v>
      </c>
      <c r="C391" s="263"/>
      <c r="D391" s="264"/>
      <c r="E391" s="7"/>
      <c r="F391" s="248"/>
      <c r="G391" s="249"/>
      <c r="H391" s="250"/>
      <c r="I391" s="245"/>
      <c r="J391" s="246"/>
      <c r="K391" s="245"/>
      <c r="L391" s="246"/>
      <c r="M391" s="29"/>
    </row>
    <row r="392" spans="2:13" ht="20.100000000000001" hidden="1" customHeight="1" x14ac:dyDescent="0.15">
      <c r="B392" s="5">
        <v>387</v>
      </c>
      <c r="C392" s="263"/>
      <c r="D392" s="264"/>
      <c r="E392" s="7"/>
      <c r="F392" s="248"/>
      <c r="G392" s="249"/>
      <c r="H392" s="250"/>
      <c r="I392" s="245"/>
      <c r="J392" s="246"/>
      <c r="K392" s="245"/>
      <c r="L392" s="246"/>
      <c r="M392" s="29"/>
    </row>
    <row r="393" spans="2:13" ht="20.100000000000001" hidden="1" customHeight="1" x14ac:dyDescent="0.15">
      <c r="B393" s="5">
        <v>388</v>
      </c>
      <c r="C393" s="263"/>
      <c r="D393" s="264"/>
      <c r="E393" s="7"/>
      <c r="F393" s="248"/>
      <c r="G393" s="249"/>
      <c r="H393" s="250"/>
      <c r="I393" s="245"/>
      <c r="J393" s="246"/>
      <c r="K393" s="245"/>
      <c r="L393" s="246"/>
      <c r="M393" s="29"/>
    </row>
    <row r="394" spans="2:13" ht="20.100000000000001" hidden="1" customHeight="1" x14ac:dyDescent="0.15">
      <c r="B394" s="5">
        <v>389</v>
      </c>
      <c r="C394" s="263"/>
      <c r="D394" s="264"/>
      <c r="E394" s="7"/>
      <c r="F394" s="248"/>
      <c r="G394" s="249"/>
      <c r="H394" s="250"/>
      <c r="I394" s="245"/>
      <c r="J394" s="246"/>
      <c r="K394" s="245"/>
      <c r="L394" s="246"/>
      <c r="M394" s="29"/>
    </row>
    <row r="395" spans="2:13" ht="20.100000000000001" hidden="1" customHeight="1" x14ac:dyDescent="0.15">
      <c r="B395" s="5">
        <v>390</v>
      </c>
      <c r="C395" s="263"/>
      <c r="D395" s="264"/>
      <c r="E395" s="7"/>
      <c r="F395" s="248"/>
      <c r="G395" s="249"/>
      <c r="H395" s="250"/>
      <c r="I395" s="245"/>
      <c r="J395" s="246"/>
      <c r="K395" s="245"/>
      <c r="L395" s="246"/>
      <c r="M395" s="29"/>
    </row>
    <row r="396" spans="2:13" ht="20.100000000000001" hidden="1" customHeight="1" x14ac:dyDescent="0.15">
      <c r="B396" s="5">
        <v>391</v>
      </c>
      <c r="C396" s="263"/>
      <c r="D396" s="264"/>
      <c r="E396" s="7"/>
      <c r="F396" s="248"/>
      <c r="G396" s="249"/>
      <c r="H396" s="250"/>
      <c r="I396" s="245"/>
      <c r="J396" s="246"/>
      <c r="K396" s="245"/>
      <c r="L396" s="246"/>
      <c r="M396" s="29"/>
    </row>
    <row r="397" spans="2:13" ht="20.100000000000001" hidden="1" customHeight="1" x14ac:dyDescent="0.15">
      <c r="B397" s="5">
        <v>392</v>
      </c>
      <c r="C397" s="263"/>
      <c r="D397" s="264"/>
      <c r="E397" s="7"/>
      <c r="F397" s="248"/>
      <c r="G397" s="249"/>
      <c r="H397" s="250"/>
      <c r="I397" s="245"/>
      <c r="J397" s="246"/>
      <c r="K397" s="245"/>
      <c r="L397" s="246"/>
      <c r="M397" s="29"/>
    </row>
    <row r="398" spans="2:13" ht="20.100000000000001" hidden="1" customHeight="1" x14ac:dyDescent="0.15">
      <c r="B398" s="5">
        <v>393</v>
      </c>
      <c r="C398" s="263"/>
      <c r="D398" s="264"/>
      <c r="E398" s="7"/>
      <c r="F398" s="248"/>
      <c r="G398" s="249"/>
      <c r="H398" s="250"/>
      <c r="I398" s="245"/>
      <c r="J398" s="246"/>
      <c r="K398" s="245"/>
      <c r="L398" s="246"/>
      <c r="M398" s="29"/>
    </row>
    <row r="399" spans="2:13" ht="20.100000000000001" hidden="1" customHeight="1" x14ac:dyDescent="0.15">
      <c r="B399" s="5">
        <v>394</v>
      </c>
      <c r="C399" s="263"/>
      <c r="D399" s="264"/>
      <c r="E399" s="7"/>
      <c r="F399" s="248"/>
      <c r="G399" s="249"/>
      <c r="H399" s="250"/>
      <c r="I399" s="245"/>
      <c r="J399" s="246"/>
      <c r="K399" s="245"/>
      <c r="L399" s="246"/>
      <c r="M399" s="29"/>
    </row>
    <row r="400" spans="2:13" ht="20.100000000000001" hidden="1" customHeight="1" x14ac:dyDescent="0.15">
      <c r="B400" s="5">
        <v>395</v>
      </c>
      <c r="C400" s="263"/>
      <c r="D400" s="264"/>
      <c r="E400" s="7"/>
      <c r="F400" s="248"/>
      <c r="G400" s="249"/>
      <c r="H400" s="250"/>
      <c r="I400" s="245"/>
      <c r="J400" s="246"/>
      <c r="K400" s="245"/>
      <c r="L400" s="246"/>
      <c r="M400" s="29"/>
    </row>
    <row r="401" spans="2:13" ht="20.100000000000001" hidden="1" customHeight="1" x14ac:dyDescent="0.15">
      <c r="B401" s="5">
        <v>396</v>
      </c>
      <c r="C401" s="263"/>
      <c r="D401" s="264"/>
      <c r="E401" s="7"/>
      <c r="F401" s="248"/>
      <c r="G401" s="249"/>
      <c r="H401" s="250"/>
      <c r="I401" s="245"/>
      <c r="J401" s="246"/>
      <c r="K401" s="245"/>
      <c r="L401" s="246"/>
      <c r="M401" s="29"/>
    </row>
    <row r="402" spans="2:13" ht="20.100000000000001" hidden="1" customHeight="1" x14ac:dyDescent="0.15">
      <c r="B402" s="5">
        <v>397</v>
      </c>
      <c r="C402" s="263"/>
      <c r="D402" s="264"/>
      <c r="E402" s="7"/>
      <c r="F402" s="248"/>
      <c r="G402" s="249"/>
      <c r="H402" s="250"/>
      <c r="I402" s="245"/>
      <c r="J402" s="246"/>
      <c r="K402" s="245"/>
      <c r="L402" s="246"/>
      <c r="M402" s="29"/>
    </row>
    <row r="403" spans="2:13" ht="20.100000000000001" hidden="1" customHeight="1" x14ac:dyDescent="0.15">
      <c r="B403" s="5">
        <v>398</v>
      </c>
      <c r="C403" s="263"/>
      <c r="D403" s="264"/>
      <c r="E403" s="7"/>
      <c r="F403" s="248"/>
      <c r="G403" s="249"/>
      <c r="H403" s="250"/>
      <c r="I403" s="245"/>
      <c r="J403" s="246"/>
      <c r="K403" s="245"/>
      <c r="L403" s="246"/>
      <c r="M403" s="29"/>
    </row>
    <row r="404" spans="2:13" ht="20.100000000000001" hidden="1" customHeight="1" x14ac:dyDescent="0.15">
      <c r="B404" s="5">
        <v>399</v>
      </c>
      <c r="C404" s="263"/>
      <c r="D404" s="264"/>
      <c r="E404" s="7"/>
      <c r="F404" s="248"/>
      <c r="G404" s="249"/>
      <c r="H404" s="250"/>
      <c r="I404" s="245"/>
      <c r="J404" s="246"/>
      <c r="K404" s="245"/>
      <c r="L404" s="246"/>
      <c r="M404" s="29"/>
    </row>
    <row r="405" spans="2:13" ht="20.100000000000001" hidden="1" customHeight="1" x14ac:dyDescent="0.15">
      <c r="B405" s="5">
        <v>400</v>
      </c>
      <c r="C405" s="263"/>
      <c r="D405" s="264"/>
      <c r="E405" s="7"/>
      <c r="F405" s="248"/>
      <c r="G405" s="249"/>
      <c r="H405" s="250"/>
      <c r="I405" s="245"/>
      <c r="J405" s="246"/>
      <c r="K405" s="245"/>
      <c r="L405" s="246"/>
      <c r="M405" s="29"/>
    </row>
    <row r="406" spans="2:13" ht="20.100000000000001" hidden="1" customHeight="1" x14ac:dyDescent="0.15">
      <c r="B406" s="5">
        <v>401</v>
      </c>
      <c r="C406" s="263"/>
      <c r="D406" s="264"/>
      <c r="E406" s="7"/>
      <c r="F406" s="248"/>
      <c r="G406" s="249"/>
      <c r="H406" s="250"/>
      <c r="I406" s="245"/>
      <c r="J406" s="246"/>
      <c r="K406" s="245"/>
      <c r="L406" s="246"/>
      <c r="M406" s="29"/>
    </row>
    <row r="407" spans="2:13" ht="20.100000000000001" hidden="1" customHeight="1" x14ac:dyDescent="0.15">
      <c r="B407" s="5">
        <v>402</v>
      </c>
      <c r="C407" s="263"/>
      <c r="D407" s="264"/>
      <c r="E407" s="7"/>
      <c r="F407" s="248"/>
      <c r="G407" s="249"/>
      <c r="H407" s="250"/>
      <c r="I407" s="245"/>
      <c r="J407" s="246"/>
      <c r="K407" s="245"/>
      <c r="L407" s="246"/>
      <c r="M407" s="29"/>
    </row>
    <row r="408" spans="2:13" ht="20.100000000000001" hidden="1" customHeight="1" x14ac:dyDescent="0.15">
      <c r="B408" s="5">
        <v>403</v>
      </c>
      <c r="C408" s="263"/>
      <c r="D408" s="264"/>
      <c r="E408" s="7"/>
      <c r="F408" s="248"/>
      <c r="G408" s="249"/>
      <c r="H408" s="250"/>
      <c r="I408" s="245"/>
      <c r="J408" s="246"/>
      <c r="K408" s="245"/>
      <c r="L408" s="246"/>
      <c r="M408" s="29"/>
    </row>
    <row r="409" spans="2:13" ht="20.100000000000001" hidden="1" customHeight="1" x14ac:dyDescent="0.15">
      <c r="B409" s="5">
        <v>404</v>
      </c>
      <c r="C409" s="263"/>
      <c r="D409" s="264"/>
      <c r="E409" s="7"/>
      <c r="F409" s="248"/>
      <c r="G409" s="249"/>
      <c r="H409" s="250"/>
      <c r="I409" s="245"/>
      <c r="J409" s="246"/>
      <c r="K409" s="245"/>
      <c r="L409" s="246"/>
      <c r="M409" s="29"/>
    </row>
    <row r="410" spans="2:13" ht="20.100000000000001" hidden="1" customHeight="1" x14ac:dyDescent="0.15">
      <c r="B410" s="5">
        <v>405</v>
      </c>
      <c r="C410" s="263"/>
      <c r="D410" s="264"/>
      <c r="E410" s="7"/>
      <c r="F410" s="248"/>
      <c r="G410" s="249"/>
      <c r="H410" s="250"/>
      <c r="I410" s="245"/>
      <c r="J410" s="246"/>
      <c r="K410" s="245"/>
      <c r="L410" s="246"/>
      <c r="M410" s="29"/>
    </row>
    <row r="411" spans="2:13" ht="20.100000000000001" hidden="1" customHeight="1" x14ac:dyDescent="0.15">
      <c r="B411" s="5">
        <v>406</v>
      </c>
      <c r="C411" s="263"/>
      <c r="D411" s="264"/>
      <c r="E411" s="7"/>
      <c r="F411" s="248"/>
      <c r="G411" s="249"/>
      <c r="H411" s="250"/>
      <c r="I411" s="245"/>
      <c r="J411" s="246"/>
      <c r="K411" s="245"/>
      <c r="L411" s="246"/>
      <c r="M411" s="29"/>
    </row>
    <row r="412" spans="2:13" ht="20.100000000000001" hidden="1" customHeight="1" x14ac:dyDescent="0.15">
      <c r="B412" s="5">
        <v>407</v>
      </c>
      <c r="C412" s="263"/>
      <c r="D412" s="264"/>
      <c r="E412" s="7"/>
      <c r="F412" s="248"/>
      <c r="G412" s="249"/>
      <c r="H412" s="250"/>
      <c r="I412" s="245"/>
      <c r="J412" s="246"/>
      <c r="K412" s="245"/>
      <c r="L412" s="246"/>
      <c r="M412" s="29"/>
    </row>
    <row r="413" spans="2:13" ht="20.100000000000001" hidden="1" customHeight="1" thickBot="1" x14ac:dyDescent="0.2">
      <c r="B413" s="5">
        <v>408</v>
      </c>
      <c r="C413" s="263"/>
      <c r="D413" s="264"/>
      <c r="E413" s="7"/>
      <c r="F413" s="248"/>
      <c r="G413" s="249"/>
      <c r="H413" s="250"/>
      <c r="I413" s="245"/>
      <c r="J413" s="246"/>
      <c r="K413" s="245"/>
      <c r="L413" s="246"/>
      <c r="M413" s="29"/>
    </row>
    <row r="414" spans="2:13" ht="20.100000000000001" hidden="1" customHeight="1" x14ac:dyDescent="0.15">
      <c r="B414" s="5">
        <v>409</v>
      </c>
      <c r="C414" s="263"/>
      <c r="D414" s="264"/>
      <c r="E414" s="7"/>
      <c r="F414" s="248"/>
      <c r="G414" s="249"/>
      <c r="H414" s="250"/>
      <c r="I414" s="245"/>
      <c r="J414" s="246"/>
      <c r="K414" s="245"/>
      <c r="L414" s="246"/>
      <c r="M414" s="29"/>
    </row>
    <row r="415" spans="2:13" ht="20.100000000000001" hidden="1" customHeight="1" x14ac:dyDescent="0.15">
      <c r="B415" s="5">
        <v>410</v>
      </c>
      <c r="C415" s="263"/>
      <c r="D415" s="264"/>
      <c r="E415" s="7"/>
      <c r="F415" s="248"/>
      <c r="G415" s="249"/>
      <c r="H415" s="250"/>
      <c r="I415" s="245"/>
      <c r="J415" s="246"/>
      <c r="K415" s="245"/>
      <c r="L415" s="246"/>
      <c r="M415" s="29"/>
    </row>
    <row r="416" spans="2:13" ht="20.100000000000001" hidden="1" customHeight="1" x14ac:dyDescent="0.15">
      <c r="B416" s="5">
        <v>411</v>
      </c>
      <c r="C416" s="263"/>
      <c r="D416" s="264"/>
      <c r="E416" s="7"/>
      <c r="F416" s="248"/>
      <c r="G416" s="249"/>
      <c r="H416" s="250"/>
      <c r="I416" s="245"/>
      <c r="J416" s="246"/>
      <c r="K416" s="245"/>
      <c r="L416" s="246"/>
      <c r="M416" s="29"/>
    </row>
    <row r="417" spans="2:13" ht="20.100000000000001" hidden="1" customHeight="1" x14ac:dyDescent="0.15">
      <c r="B417" s="5">
        <v>412</v>
      </c>
      <c r="C417" s="263"/>
      <c r="D417" s="264"/>
      <c r="E417" s="7"/>
      <c r="F417" s="248"/>
      <c r="G417" s="249"/>
      <c r="H417" s="250"/>
      <c r="I417" s="245"/>
      <c r="J417" s="246"/>
      <c r="K417" s="245"/>
      <c r="L417" s="246"/>
      <c r="M417" s="29"/>
    </row>
    <row r="418" spans="2:13" ht="20.100000000000001" hidden="1" customHeight="1" x14ac:dyDescent="0.15">
      <c r="B418" s="5">
        <v>413</v>
      </c>
      <c r="C418" s="263"/>
      <c r="D418" s="264"/>
      <c r="E418" s="7"/>
      <c r="F418" s="248"/>
      <c r="G418" s="249"/>
      <c r="H418" s="250"/>
      <c r="I418" s="245"/>
      <c r="J418" s="246"/>
      <c r="K418" s="245"/>
      <c r="L418" s="246"/>
      <c r="M418" s="29"/>
    </row>
    <row r="419" spans="2:13" ht="20.100000000000001" hidden="1" customHeight="1" x14ac:dyDescent="0.15">
      <c r="B419" s="5">
        <v>414</v>
      </c>
      <c r="C419" s="263"/>
      <c r="D419" s="264"/>
      <c r="E419" s="7"/>
      <c r="F419" s="248"/>
      <c r="G419" s="249"/>
      <c r="H419" s="250"/>
      <c r="I419" s="245"/>
      <c r="J419" s="246"/>
      <c r="K419" s="245"/>
      <c r="L419" s="246"/>
      <c r="M419" s="29"/>
    </row>
    <row r="420" spans="2:13" ht="20.100000000000001" hidden="1" customHeight="1" x14ac:dyDescent="0.15">
      <c r="B420" s="5">
        <v>415</v>
      </c>
      <c r="C420" s="263"/>
      <c r="D420" s="264"/>
      <c r="E420" s="7"/>
      <c r="F420" s="248"/>
      <c r="G420" s="249"/>
      <c r="H420" s="250"/>
      <c r="I420" s="245"/>
      <c r="J420" s="246"/>
      <c r="K420" s="245"/>
      <c r="L420" s="246"/>
      <c r="M420" s="29"/>
    </row>
    <row r="421" spans="2:13" ht="20.100000000000001" hidden="1" customHeight="1" x14ac:dyDescent="0.15">
      <c r="B421" s="5">
        <v>416</v>
      </c>
      <c r="C421" s="263"/>
      <c r="D421" s="264"/>
      <c r="E421" s="7"/>
      <c r="F421" s="248"/>
      <c r="G421" s="249"/>
      <c r="H421" s="250"/>
      <c r="I421" s="245"/>
      <c r="J421" s="246"/>
      <c r="K421" s="245"/>
      <c r="L421" s="246"/>
      <c r="M421" s="29"/>
    </row>
    <row r="422" spans="2:13" ht="20.100000000000001" hidden="1" customHeight="1" x14ac:dyDescent="0.15">
      <c r="B422" s="5">
        <v>417</v>
      </c>
      <c r="C422" s="263"/>
      <c r="D422" s="264"/>
      <c r="E422" s="7"/>
      <c r="F422" s="248"/>
      <c r="G422" s="249"/>
      <c r="H422" s="250"/>
      <c r="I422" s="245"/>
      <c r="J422" s="246"/>
      <c r="K422" s="245"/>
      <c r="L422" s="246"/>
      <c r="M422" s="29"/>
    </row>
    <row r="423" spans="2:13" ht="20.100000000000001" hidden="1" customHeight="1" x14ac:dyDescent="0.15">
      <c r="B423" s="5">
        <v>418</v>
      </c>
      <c r="C423" s="263"/>
      <c r="D423" s="264"/>
      <c r="E423" s="7"/>
      <c r="F423" s="248"/>
      <c r="G423" s="249"/>
      <c r="H423" s="250"/>
      <c r="I423" s="245"/>
      <c r="J423" s="246"/>
      <c r="K423" s="245"/>
      <c r="L423" s="246"/>
      <c r="M423" s="29"/>
    </row>
    <row r="424" spans="2:13" ht="20.100000000000001" hidden="1" customHeight="1" x14ac:dyDescent="0.15">
      <c r="B424" s="5">
        <v>419</v>
      </c>
      <c r="C424" s="263"/>
      <c r="D424" s="264"/>
      <c r="E424" s="7"/>
      <c r="F424" s="248"/>
      <c r="G424" s="249"/>
      <c r="H424" s="250"/>
      <c r="I424" s="245"/>
      <c r="J424" s="246"/>
      <c r="K424" s="245"/>
      <c r="L424" s="246"/>
      <c r="M424" s="29"/>
    </row>
    <row r="425" spans="2:13" ht="20.100000000000001" hidden="1" customHeight="1" x14ac:dyDescent="0.15">
      <c r="B425" s="5">
        <v>420</v>
      </c>
      <c r="C425" s="263"/>
      <c r="D425" s="264"/>
      <c r="E425" s="7"/>
      <c r="F425" s="248"/>
      <c r="G425" s="249"/>
      <c r="H425" s="250"/>
      <c r="I425" s="245"/>
      <c r="J425" s="246"/>
      <c r="K425" s="245"/>
      <c r="L425" s="246"/>
      <c r="M425" s="29"/>
    </row>
    <row r="426" spans="2:13" ht="20.100000000000001" hidden="1" customHeight="1" x14ac:dyDescent="0.15">
      <c r="B426" s="5">
        <v>421</v>
      </c>
      <c r="C426" s="263"/>
      <c r="D426" s="264"/>
      <c r="E426" s="7"/>
      <c r="F426" s="248"/>
      <c r="G426" s="249"/>
      <c r="H426" s="250"/>
      <c r="I426" s="245"/>
      <c r="J426" s="246"/>
      <c r="K426" s="245"/>
      <c r="L426" s="246"/>
      <c r="M426" s="29"/>
    </row>
    <row r="427" spans="2:13" ht="20.100000000000001" hidden="1" customHeight="1" x14ac:dyDescent="0.15">
      <c r="B427" s="5">
        <v>422</v>
      </c>
      <c r="C427" s="263"/>
      <c r="D427" s="264"/>
      <c r="E427" s="7"/>
      <c r="F427" s="248"/>
      <c r="G427" s="249"/>
      <c r="H427" s="250"/>
      <c r="I427" s="245"/>
      <c r="J427" s="246"/>
      <c r="K427" s="245"/>
      <c r="L427" s="246"/>
      <c r="M427" s="29"/>
    </row>
    <row r="428" spans="2:13" ht="20.100000000000001" hidden="1" customHeight="1" x14ac:dyDescent="0.15">
      <c r="B428" s="5">
        <v>423</v>
      </c>
      <c r="C428" s="263"/>
      <c r="D428" s="264"/>
      <c r="E428" s="7"/>
      <c r="F428" s="248"/>
      <c r="G428" s="249"/>
      <c r="H428" s="250"/>
      <c r="I428" s="245"/>
      <c r="J428" s="246"/>
      <c r="K428" s="245"/>
      <c r="L428" s="246"/>
      <c r="M428" s="29"/>
    </row>
    <row r="429" spans="2:13" ht="20.100000000000001" hidden="1" customHeight="1" x14ac:dyDescent="0.15">
      <c r="B429" s="5">
        <v>424</v>
      </c>
      <c r="C429" s="263"/>
      <c r="D429" s="264"/>
      <c r="E429" s="7"/>
      <c r="F429" s="248"/>
      <c r="G429" s="249"/>
      <c r="H429" s="250"/>
      <c r="I429" s="245"/>
      <c r="J429" s="246"/>
      <c r="K429" s="245"/>
      <c r="L429" s="246"/>
      <c r="M429" s="29"/>
    </row>
    <row r="430" spans="2:13" ht="20.100000000000001" hidden="1" customHeight="1" x14ac:dyDescent="0.15">
      <c r="B430" s="5">
        <v>425</v>
      </c>
      <c r="C430" s="263"/>
      <c r="D430" s="264"/>
      <c r="E430" s="7"/>
      <c r="F430" s="248"/>
      <c r="G430" s="249"/>
      <c r="H430" s="250"/>
      <c r="I430" s="245"/>
      <c r="J430" s="246"/>
      <c r="K430" s="245"/>
      <c r="L430" s="246"/>
      <c r="M430" s="29"/>
    </row>
    <row r="431" spans="2:13" ht="20.100000000000001" hidden="1" customHeight="1" x14ac:dyDescent="0.15">
      <c r="B431" s="5">
        <v>426</v>
      </c>
      <c r="C431" s="263"/>
      <c r="D431" s="264"/>
      <c r="E431" s="7"/>
      <c r="F431" s="248"/>
      <c r="G431" s="249"/>
      <c r="H431" s="250"/>
      <c r="I431" s="245"/>
      <c r="J431" s="246"/>
      <c r="K431" s="245"/>
      <c r="L431" s="246"/>
      <c r="M431" s="29"/>
    </row>
    <row r="432" spans="2:13" ht="20.100000000000001" hidden="1" customHeight="1" x14ac:dyDescent="0.15">
      <c r="B432" s="5">
        <v>427</v>
      </c>
      <c r="C432" s="263"/>
      <c r="D432" s="264"/>
      <c r="E432" s="7"/>
      <c r="F432" s="248"/>
      <c r="G432" s="249"/>
      <c r="H432" s="250"/>
      <c r="I432" s="245"/>
      <c r="J432" s="246"/>
      <c r="K432" s="245"/>
      <c r="L432" s="246"/>
      <c r="M432" s="29"/>
    </row>
    <row r="433" spans="2:13" ht="20.100000000000001" hidden="1" customHeight="1" x14ac:dyDescent="0.15">
      <c r="B433" s="5">
        <v>428</v>
      </c>
      <c r="C433" s="263"/>
      <c r="D433" s="264"/>
      <c r="E433" s="7"/>
      <c r="F433" s="248"/>
      <c r="G433" s="249"/>
      <c r="H433" s="250"/>
      <c r="I433" s="245"/>
      <c r="J433" s="246"/>
      <c r="K433" s="245"/>
      <c r="L433" s="246"/>
      <c r="M433" s="29"/>
    </row>
    <row r="434" spans="2:13" ht="20.100000000000001" hidden="1" customHeight="1" x14ac:dyDescent="0.15">
      <c r="B434" s="5">
        <v>429</v>
      </c>
      <c r="C434" s="263"/>
      <c r="D434" s="264"/>
      <c r="E434" s="7"/>
      <c r="F434" s="248"/>
      <c r="G434" s="249"/>
      <c r="H434" s="250"/>
      <c r="I434" s="245"/>
      <c r="J434" s="246"/>
      <c r="K434" s="245"/>
      <c r="L434" s="246"/>
      <c r="M434" s="29"/>
    </row>
    <row r="435" spans="2:13" ht="20.100000000000001" hidden="1" customHeight="1" x14ac:dyDescent="0.15">
      <c r="B435" s="5">
        <v>430</v>
      </c>
      <c r="C435" s="263"/>
      <c r="D435" s="264"/>
      <c r="E435" s="7"/>
      <c r="F435" s="248"/>
      <c r="G435" s="249"/>
      <c r="H435" s="250"/>
      <c r="I435" s="245"/>
      <c r="J435" s="246"/>
      <c r="K435" s="245"/>
      <c r="L435" s="246"/>
      <c r="M435" s="29"/>
    </row>
    <row r="436" spans="2:13" ht="20.100000000000001" hidden="1" customHeight="1" x14ac:dyDescent="0.15">
      <c r="B436" s="5">
        <v>431</v>
      </c>
      <c r="C436" s="263"/>
      <c r="D436" s="264"/>
      <c r="E436" s="7"/>
      <c r="F436" s="248"/>
      <c r="G436" s="249"/>
      <c r="H436" s="250"/>
      <c r="I436" s="245"/>
      <c r="J436" s="246"/>
      <c r="K436" s="245"/>
      <c r="L436" s="246"/>
      <c r="M436" s="29"/>
    </row>
    <row r="437" spans="2:13" ht="20.100000000000001" hidden="1" customHeight="1" x14ac:dyDescent="0.15">
      <c r="B437" s="5">
        <v>432</v>
      </c>
      <c r="C437" s="263"/>
      <c r="D437" s="264"/>
      <c r="E437" s="7"/>
      <c r="F437" s="248"/>
      <c r="G437" s="249"/>
      <c r="H437" s="250"/>
      <c r="I437" s="245"/>
      <c r="J437" s="246"/>
      <c r="K437" s="245"/>
      <c r="L437" s="246"/>
      <c r="M437" s="29"/>
    </row>
    <row r="438" spans="2:13" ht="20.100000000000001" hidden="1" customHeight="1" x14ac:dyDescent="0.15">
      <c r="B438" s="5">
        <v>433</v>
      </c>
      <c r="C438" s="263"/>
      <c r="D438" s="264"/>
      <c r="E438" s="7"/>
      <c r="F438" s="248"/>
      <c r="G438" s="249"/>
      <c r="H438" s="250"/>
      <c r="I438" s="245"/>
      <c r="J438" s="246"/>
      <c r="K438" s="245"/>
      <c r="L438" s="246"/>
      <c r="M438" s="29"/>
    </row>
    <row r="439" spans="2:13" ht="20.100000000000001" hidden="1" customHeight="1" x14ac:dyDescent="0.15">
      <c r="B439" s="5">
        <v>434</v>
      </c>
      <c r="C439" s="263"/>
      <c r="D439" s="264"/>
      <c r="E439" s="7"/>
      <c r="F439" s="248"/>
      <c r="G439" s="249"/>
      <c r="H439" s="250"/>
      <c r="I439" s="245"/>
      <c r="J439" s="246"/>
      <c r="K439" s="245"/>
      <c r="L439" s="246"/>
      <c r="M439" s="29"/>
    </row>
    <row r="440" spans="2:13" ht="20.100000000000001" hidden="1" customHeight="1" x14ac:dyDescent="0.15">
      <c r="B440" s="5">
        <v>435</v>
      </c>
      <c r="C440" s="263"/>
      <c r="D440" s="264"/>
      <c r="E440" s="7"/>
      <c r="F440" s="248"/>
      <c r="G440" s="249"/>
      <c r="H440" s="250"/>
      <c r="I440" s="245"/>
      <c r="J440" s="246"/>
      <c r="K440" s="245"/>
      <c r="L440" s="246"/>
      <c r="M440" s="29"/>
    </row>
    <row r="441" spans="2:13" ht="20.100000000000001" hidden="1" customHeight="1" x14ac:dyDescent="0.15">
      <c r="B441" s="5">
        <v>436</v>
      </c>
      <c r="C441" s="263"/>
      <c r="D441" s="264"/>
      <c r="E441" s="7"/>
      <c r="F441" s="248"/>
      <c r="G441" s="249"/>
      <c r="H441" s="250"/>
      <c r="I441" s="245"/>
      <c r="J441" s="246"/>
      <c r="K441" s="245"/>
      <c r="L441" s="246"/>
      <c r="M441" s="29"/>
    </row>
    <row r="442" spans="2:13" ht="20.100000000000001" hidden="1" customHeight="1" x14ac:dyDescent="0.15">
      <c r="B442" s="5">
        <v>437</v>
      </c>
      <c r="C442" s="263"/>
      <c r="D442" s="264"/>
      <c r="E442" s="7"/>
      <c r="F442" s="248"/>
      <c r="G442" s="249"/>
      <c r="H442" s="250"/>
      <c r="I442" s="245"/>
      <c r="J442" s="246"/>
      <c r="K442" s="245"/>
      <c r="L442" s="246"/>
      <c r="M442" s="29"/>
    </row>
    <row r="443" spans="2:13" ht="20.100000000000001" hidden="1" customHeight="1" x14ac:dyDescent="0.15">
      <c r="B443" s="5">
        <v>438</v>
      </c>
      <c r="C443" s="263"/>
      <c r="D443" s="264"/>
      <c r="E443" s="7"/>
      <c r="F443" s="248"/>
      <c r="G443" s="249"/>
      <c r="H443" s="250"/>
      <c r="I443" s="245"/>
      <c r="J443" s="246"/>
      <c r="K443" s="245"/>
      <c r="L443" s="246"/>
      <c r="M443" s="29"/>
    </row>
    <row r="444" spans="2:13" ht="20.100000000000001" hidden="1" customHeight="1" x14ac:dyDescent="0.15">
      <c r="B444" s="5">
        <v>439</v>
      </c>
      <c r="C444" s="263"/>
      <c r="D444" s="264"/>
      <c r="E444" s="7"/>
      <c r="F444" s="248"/>
      <c r="G444" s="249"/>
      <c r="H444" s="250"/>
      <c r="I444" s="245"/>
      <c r="J444" s="246"/>
      <c r="K444" s="245"/>
      <c r="L444" s="246"/>
      <c r="M444" s="29"/>
    </row>
    <row r="445" spans="2:13" ht="20.100000000000001" hidden="1" customHeight="1" x14ac:dyDescent="0.15">
      <c r="B445" s="5">
        <v>440</v>
      </c>
      <c r="C445" s="263"/>
      <c r="D445" s="264"/>
      <c r="E445" s="7"/>
      <c r="F445" s="248"/>
      <c r="G445" s="249"/>
      <c r="H445" s="250"/>
      <c r="I445" s="245"/>
      <c r="J445" s="246"/>
      <c r="K445" s="245"/>
      <c r="L445" s="246"/>
      <c r="M445" s="29"/>
    </row>
    <row r="446" spans="2:13" ht="20.100000000000001" hidden="1" customHeight="1" x14ac:dyDescent="0.15">
      <c r="B446" s="5">
        <v>441</v>
      </c>
      <c r="C446" s="263"/>
      <c r="D446" s="264"/>
      <c r="E446" s="7"/>
      <c r="F446" s="248"/>
      <c r="G446" s="249"/>
      <c r="H446" s="250"/>
      <c r="I446" s="245"/>
      <c r="J446" s="246"/>
      <c r="K446" s="245"/>
      <c r="L446" s="246"/>
      <c r="M446" s="29"/>
    </row>
    <row r="447" spans="2:13" ht="20.100000000000001" hidden="1" customHeight="1" x14ac:dyDescent="0.15">
      <c r="B447" s="5">
        <v>442</v>
      </c>
      <c r="C447" s="263"/>
      <c r="D447" s="264"/>
      <c r="E447" s="7"/>
      <c r="F447" s="248"/>
      <c r="G447" s="249"/>
      <c r="H447" s="250"/>
      <c r="I447" s="245"/>
      <c r="J447" s="246"/>
      <c r="K447" s="245"/>
      <c r="L447" s="246"/>
      <c r="M447" s="29"/>
    </row>
    <row r="448" spans="2:13" ht="20.100000000000001" hidden="1" customHeight="1" x14ac:dyDescent="0.15">
      <c r="B448" s="5">
        <v>443</v>
      </c>
      <c r="C448" s="263"/>
      <c r="D448" s="264"/>
      <c r="E448" s="7"/>
      <c r="F448" s="248"/>
      <c r="G448" s="249"/>
      <c r="H448" s="250"/>
      <c r="I448" s="245"/>
      <c r="J448" s="246"/>
      <c r="K448" s="245"/>
      <c r="L448" s="246"/>
      <c r="M448" s="29"/>
    </row>
    <row r="449" spans="2:13" ht="20.100000000000001" hidden="1" customHeight="1" x14ac:dyDescent="0.15">
      <c r="B449" s="5">
        <v>444</v>
      </c>
      <c r="C449" s="263"/>
      <c r="D449" s="264"/>
      <c r="E449" s="7"/>
      <c r="F449" s="248"/>
      <c r="G449" s="249"/>
      <c r="H449" s="250"/>
      <c r="I449" s="245"/>
      <c r="J449" s="246"/>
      <c r="K449" s="245"/>
      <c r="L449" s="246"/>
      <c r="M449" s="29"/>
    </row>
    <row r="450" spans="2:13" ht="20.100000000000001" hidden="1" customHeight="1" x14ac:dyDescent="0.15">
      <c r="B450" s="5">
        <v>445</v>
      </c>
      <c r="C450" s="263"/>
      <c r="D450" s="264"/>
      <c r="E450" s="7"/>
      <c r="F450" s="248"/>
      <c r="G450" s="249"/>
      <c r="H450" s="250"/>
      <c r="I450" s="245"/>
      <c r="J450" s="246"/>
      <c r="K450" s="245"/>
      <c r="L450" s="246"/>
      <c r="M450" s="29"/>
    </row>
    <row r="451" spans="2:13" ht="20.100000000000001" hidden="1" customHeight="1" x14ac:dyDescent="0.15">
      <c r="B451" s="5">
        <v>446</v>
      </c>
      <c r="C451" s="263"/>
      <c r="D451" s="264"/>
      <c r="E451" s="7"/>
      <c r="F451" s="248"/>
      <c r="G451" s="249"/>
      <c r="H451" s="250"/>
      <c r="I451" s="245"/>
      <c r="J451" s="246"/>
      <c r="K451" s="245"/>
      <c r="L451" s="246"/>
      <c r="M451" s="29"/>
    </row>
    <row r="452" spans="2:13" ht="20.100000000000001" hidden="1" customHeight="1" x14ac:dyDescent="0.15">
      <c r="B452" s="5">
        <v>447</v>
      </c>
      <c r="C452" s="263"/>
      <c r="D452" s="264"/>
      <c r="E452" s="7"/>
      <c r="F452" s="248"/>
      <c r="G452" s="249"/>
      <c r="H452" s="250"/>
      <c r="I452" s="245"/>
      <c r="J452" s="246"/>
      <c r="K452" s="245"/>
      <c r="L452" s="246"/>
      <c r="M452" s="29"/>
    </row>
    <row r="453" spans="2:13" ht="20.100000000000001" hidden="1" customHeight="1" x14ac:dyDescent="0.15">
      <c r="B453" s="5">
        <v>448</v>
      </c>
      <c r="C453" s="263"/>
      <c r="D453" s="264"/>
      <c r="E453" s="7"/>
      <c r="F453" s="248"/>
      <c r="G453" s="249"/>
      <c r="H453" s="250"/>
      <c r="I453" s="245"/>
      <c r="J453" s="246"/>
      <c r="K453" s="245"/>
      <c r="L453" s="246"/>
      <c r="M453" s="29"/>
    </row>
    <row r="454" spans="2:13" ht="20.100000000000001" hidden="1" customHeight="1" x14ac:dyDescent="0.15">
      <c r="B454" s="5">
        <v>449</v>
      </c>
      <c r="C454" s="263"/>
      <c r="D454" s="264"/>
      <c r="E454" s="7"/>
      <c r="F454" s="248"/>
      <c r="G454" s="249"/>
      <c r="H454" s="250"/>
      <c r="I454" s="245"/>
      <c r="J454" s="246"/>
      <c r="K454" s="245"/>
      <c r="L454" s="246"/>
      <c r="M454" s="29"/>
    </row>
    <row r="455" spans="2:13" ht="20.100000000000001" hidden="1" customHeight="1" x14ac:dyDescent="0.15">
      <c r="B455" s="5">
        <v>450</v>
      </c>
      <c r="C455" s="263"/>
      <c r="D455" s="264"/>
      <c r="E455" s="7"/>
      <c r="F455" s="248"/>
      <c r="G455" s="249"/>
      <c r="H455" s="250"/>
      <c r="I455" s="245"/>
      <c r="J455" s="246"/>
      <c r="K455" s="245"/>
      <c r="L455" s="246"/>
      <c r="M455" s="29"/>
    </row>
    <row r="456" spans="2:13" ht="20.100000000000001" hidden="1" customHeight="1" x14ac:dyDescent="0.15">
      <c r="B456" s="5">
        <v>451</v>
      </c>
      <c r="C456" s="263"/>
      <c r="D456" s="264"/>
      <c r="E456" s="7"/>
      <c r="F456" s="248"/>
      <c r="G456" s="249"/>
      <c r="H456" s="250"/>
      <c r="I456" s="245"/>
      <c r="J456" s="246"/>
      <c r="K456" s="245"/>
      <c r="L456" s="246"/>
      <c r="M456" s="29"/>
    </row>
    <row r="457" spans="2:13" ht="20.100000000000001" hidden="1" customHeight="1" thickBot="1" x14ac:dyDescent="0.2">
      <c r="B457" s="5">
        <v>452</v>
      </c>
      <c r="C457" s="263"/>
      <c r="D457" s="264"/>
      <c r="E457" s="7"/>
      <c r="F457" s="248"/>
      <c r="G457" s="249"/>
      <c r="H457" s="250"/>
      <c r="I457" s="245"/>
      <c r="J457" s="246"/>
      <c r="K457" s="245"/>
      <c r="L457" s="246"/>
      <c r="M457" s="29"/>
    </row>
    <row r="458" spans="2:13" ht="20.100000000000001" hidden="1" customHeight="1" x14ac:dyDescent="0.15">
      <c r="B458" s="5">
        <v>453</v>
      </c>
      <c r="C458" s="263"/>
      <c r="D458" s="264"/>
      <c r="E458" s="7"/>
      <c r="F458" s="248"/>
      <c r="G458" s="249"/>
      <c r="H458" s="250"/>
      <c r="I458" s="245"/>
      <c r="J458" s="246"/>
      <c r="K458" s="245"/>
      <c r="L458" s="246"/>
      <c r="M458" s="29"/>
    </row>
    <row r="459" spans="2:13" ht="20.100000000000001" hidden="1" customHeight="1" x14ac:dyDescent="0.15">
      <c r="B459" s="5">
        <v>454</v>
      </c>
      <c r="C459" s="263"/>
      <c r="D459" s="264"/>
      <c r="E459" s="7"/>
      <c r="F459" s="248"/>
      <c r="G459" s="249"/>
      <c r="H459" s="250"/>
      <c r="I459" s="245"/>
      <c r="J459" s="246"/>
      <c r="K459" s="245"/>
      <c r="L459" s="246"/>
      <c r="M459" s="29"/>
    </row>
    <row r="460" spans="2:13" ht="20.100000000000001" hidden="1" customHeight="1" x14ac:dyDescent="0.15">
      <c r="B460" s="5">
        <v>455</v>
      </c>
      <c r="C460" s="263"/>
      <c r="D460" s="264"/>
      <c r="E460" s="7"/>
      <c r="F460" s="248"/>
      <c r="G460" s="249"/>
      <c r="H460" s="250"/>
      <c r="I460" s="245"/>
      <c r="J460" s="246"/>
      <c r="K460" s="245"/>
      <c r="L460" s="246"/>
      <c r="M460" s="29"/>
    </row>
    <row r="461" spans="2:13" ht="20.100000000000001" hidden="1" customHeight="1" x14ac:dyDescent="0.15">
      <c r="B461" s="5">
        <v>456</v>
      </c>
      <c r="C461" s="263"/>
      <c r="D461" s="264"/>
      <c r="E461" s="7"/>
      <c r="F461" s="248"/>
      <c r="G461" s="249"/>
      <c r="H461" s="250"/>
      <c r="I461" s="245"/>
      <c r="J461" s="246"/>
      <c r="K461" s="245"/>
      <c r="L461" s="246"/>
      <c r="M461" s="29"/>
    </row>
    <row r="462" spans="2:13" ht="20.100000000000001" hidden="1" customHeight="1" x14ac:dyDescent="0.15">
      <c r="B462" s="5">
        <v>457</v>
      </c>
      <c r="C462" s="263"/>
      <c r="D462" s="264"/>
      <c r="E462" s="7"/>
      <c r="F462" s="248"/>
      <c r="G462" s="249"/>
      <c r="H462" s="250"/>
      <c r="I462" s="245"/>
      <c r="J462" s="246"/>
      <c r="K462" s="245"/>
      <c r="L462" s="246"/>
      <c r="M462" s="29"/>
    </row>
    <row r="463" spans="2:13" ht="20.100000000000001" hidden="1" customHeight="1" x14ac:dyDescent="0.15">
      <c r="B463" s="5">
        <v>458</v>
      </c>
      <c r="C463" s="263"/>
      <c r="D463" s="264"/>
      <c r="E463" s="7"/>
      <c r="F463" s="248"/>
      <c r="G463" s="249"/>
      <c r="H463" s="250"/>
      <c r="I463" s="245"/>
      <c r="J463" s="246"/>
      <c r="K463" s="245"/>
      <c r="L463" s="246"/>
      <c r="M463" s="29"/>
    </row>
    <row r="464" spans="2:13" ht="20.100000000000001" hidden="1" customHeight="1" x14ac:dyDescent="0.15">
      <c r="B464" s="5">
        <v>459</v>
      </c>
      <c r="C464" s="263"/>
      <c r="D464" s="264"/>
      <c r="E464" s="7"/>
      <c r="F464" s="248"/>
      <c r="G464" s="249"/>
      <c r="H464" s="250"/>
      <c r="I464" s="245"/>
      <c r="J464" s="246"/>
      <c r="K464" s="245"/>
      <c r="L464" s="246"/>
      <c r="M464" s="29"/>
    </row>
    <row r="465" spans="2:13" ht="20.100000000000001" hidden="1" customHeight="1" x14ac:dyDescent="0.15">
      <c r="B465" s="5">
        <v>460</v>
      </c>
      <c r="C465" s="263"/>
      <c r="D465" s="264"/>
      <c r="E465" s="7"/>
      <c r="F465" s="248"/>
      <c r="G465" s="249"/>
      <c r="H465" s="250"/>
      <c r="I465" s="245"/>
      <c r="J465" s="246"/>
      <c r="K465" s="245"/>
      <c r="L465" s="246"/>
      <c r="M465" s="29"/>
    </row>
    <row r="466" spans="2:13" ht="20.100000000000001" hidden="1" customHeight="1" x14ac:dyDescent="0.15">
      <c r="B466" s="5">
        <v>461</v>
      </c>
      <c r="C466" s="263"/>
      <c r="D466" s="264"/>
      <c r="E466" s="7"/>
      <c r="F466" s="248"/>
      <c r="G466" s="249"/>
      <c r="H466" s="250"/>
      <c r="I466" s="245"/>
      <c r="J466" s="246"/>
      <c r="K466" s="245"/>
      <c r="L466" s="246"/>
      <c r="M466" s="29"/>
    </row>
    <row r="467" spans="2:13" ht="20.100000000000001" hidden="1" customHeight="1" x14ac:dyDescent="0.15">
      <c r="B467" s="5">
        <v>462</v>
      </c>
      <c r="C467" s="263"/>
      <c r="D467" s="264"/>
      <c r="E467" s="7"/>
      <c r="F467" s="248"/>
      <c r="G467" s="249"/>
      <c r="H467" s="250"/>
      <c r="I467" s="245"/>
      <c r="J467" s="246"/>
      <c r="K467" s="245"/>
      <c r="L467" s="246"/>
      <c r="M467" s="29"/>
    </row>
    <row r="468" spans="2:13" ht="20.100000000000001" hidden="1" customHeight="1" x14ac:dyDescent="0.15">
      <c r="B468" s="5">
        <v>463</v>
      </c>
      <c r="C468" s="263"/>
      <c r="D468" s="264"/>
      <c r="E468" s="7"/>
      <c r="F468" s="248"/>
      <c r="G468" s="249"/>
      <c r="H468" s="250"/>
      <c r="I468" s="245"/>
      <c r="J468" s="246"/>
      <c r="K468" s="245"/>
      <c r="L468" s="246"/>
      <c r="M468" s="29"/>
    </row>
    <row r="469" spans="2:13" ht="20.100000000000001" hidden="1" customHeight="1" x14ac:dyDescent="0.15">
      <c r="B469" s="5">
        <v>464</v>
      </c>
      <c r="C469" s="263"/>
      <c r="D469" s="264"/>
      <c r="E469" s="7"/>
      <c r="F469" s="248"/>
      <c r="G469" s="249"/>
      <c r="H469" s="250"/>
      <c r="I469" s="245"/>
      <c r="J469" s="246"/>
      <c r="K469" s="245"/>
      <c r="L469" s="246"/>
      <c r="M469" s="29"/>
    </row>
    <row r="470" spans="2:13" ht="20.100000000000001" hidden="1" customHeight="1" x14ac:dyDescent="0.15">
      <c r="B470" s="5">
        <v>465</v>
      </c>
      <c r="C470" s="263"/>
      <c r="D470" s="264"/>
      <c r="E470" s="7"/>
      <c r="F470" s="248"/>
      <c r="G470" s="249"/>
      <c r="H470" s="250"/>
      <c r="I470" s="245"/>
      <c r="J470" s="246"/>
      <c r="K470" s="245"/>
      <c r="L470" s="246"/>
      <c r="M470" s="29"/>
    </row>
    <row r="471" spans="2:13" ht="20.100000000000001" hidden="1" customHeight="1" x14ac:dyDescent="0.15">
      <c r="B471" s="5">
        <v>466</v>
      </c>
      <c r="C471" s="263"/>
      <c r="D471" s="264"/>
      <c r="E471" s="7"/>
      <c r="F471" s="248"/>
      <c r="G471" s="249"/>
      <c r="H471" s="250"/>
      <c r="I471" s="245"/>
      <c r="J471" s="246"/>
      <c r="K471" s="245"/>
      <c r="L471" s="246"/>
      <c r="M471" s="29"/>
    </row>
    <row r="472" spans="2:13" ht="20.100000000000001" hidden="1" customHeight="1" x14ac:dyDescent="0.15">
      <c r="B472" s="5">
        <v>467</v>
      </c>
      <c r="C472" s="263"/>
      <c r="D472" s="264"/>
      <c r="E472" s="7"/>
      <c r="F472" s="248"/>
      <c r="G472" s="249"/>
      <c r="H472" s="250"/>
      <c r="I472" s="245"/>
      <c r="J472" s="246"/>
      <c r="K472" s="245"/>
      <c r="L472" s="246"/>
      <c r="M472" s="29"/>
    </row>
    <row r="473" spans="2:13" ht="20.100000000000001" hidden="1" customHeight="1" x14ac:dyDescent="0.15">
      <c r="B473" s="5">
        <v>468</v>
      </c>
      <c r="C473" s="263"/>
      <c r="D473" s="264"/>
      <c r="E473" s="7"/>
      <c r="F473" s="248"/>
      <c r="G473" s="249"/>
      <c r="H473" s="250"/>
      <c r="I473" s="245"/>
      <c r="J473" s="246"/>
      <c r="K473" s="245"/>
      <c r="L473" s="246"/>
      <c r="M473" s="29"/>
    </row>
    <row r="474" spans="2:13" ht="20.100000000000001" hidden="1" customHeight="1" x14ac:dyDescent="0.15">
      <c r="B474" s="5">
        <v>469</v>
      </c>
      <c r="C474" s="263"/>
      <c r="D474" s="264"/>
      <c r="E474" s="7"/>
      <c r="F474" s="248"/>
      <c r="G474" s="249"/>
      <c r="H474" s="250"/>
      <c r="I474" s="245"/>
      <c r="J474" s="246"/>
      <c r="K474" s="245"/>
      <c r="L474" s="246"/>
      <c r="M474" s="29"/>
    </row>
    <row r="475" spans="2:13" ht="20.100000000000001" hidden="1" customHeight="1" x14ac:dyDescent="0.15">
      <c r="B475" s="5">
        <v>470</v>
      </c>
      <c r="C475" s="263"/>
      <c r="D475" s="264"/>
      <c r="E475" s="7"/>
      <c r="F475" s="248"/>
      <c r="G475" s="249"/>
      <c r="H475" s="250"/>
      <c r="I475" s="245"/>
      <c r="J475" s="246"/>
      <c r="K475" s="245"/>
      <c r="L475" s="246"/>
      <c r="M475" s="29"/>
    </row>
    <row r="476" spans="2:13" ht="20.100000000000001" hidden="1" customHeight="1" x14ac:dyDescent="0.15">
      <c r="B476" s="5">
        <v>471</v>
      </c>
      <c r="C476" s="263"/>
      <c r="D476" s="264"/>
      <c r="E476" s="7"/>
      <c r="F476" s="248"/>
      <c r="G476" s="249"/>
      <c r="H476" s="250"/>
      <c r="I476" s="245"/>
      <c r="J476" s="246"/>
      <c r="K476" s="245"/>
      <c r="L476" s="246"/>
      <c r="M476" s="29"/>
    </row>
    <row r="477" spans="2:13" ht="20.100000000000001" hidden="1" customHeight="1" x14ac:dyDescent="0.15">
      <c r="B477" s="5">
        <v>472</v>
      </c>
      <c r="C477" s="263"/>
      <c r="D477" s="264"/>
      <c r="E477" s="7"/>
      <c r="F477" s="248"/>
      <c r="G477" s="249"/>
      <c r="H477" s="250"/>
      <c r="I477" s="245"/>
      <c r="J477" s="246"/>
      <c r="K477" s="245"/>
      <c r="L477" s="246"/>
      <c r="M477" s="29"/>
    </row>
    <row r="478" spans="2:13" ht="20.100000000000001" hidden="1" customHeight="1" x14ac:dyDescent="0.15">
      <c r="B478" s="5">
        <v>473</v>
      </c>
      <c r="C478" s="263"/>
      <c r="D478" s="264"/>
      <c r="E478" s="7"/>
      <c r="F478" s="248"/>
      <c r="G478" s="249"/>
      <c r="H478" s="250"/>
      <c r="I478" s="245"/>
      <c r="J478" s="246"/>
      <c r="K478" s="245"/>
      <c r="L478" s="246"/>
      <c r="M478" s="29"/>
    </row>
    <row r="479" spans="2:13" ht="20.100000000000001" hidden="1" customHeight="1" x14ac:dyDescent="0.15">
      <c r="B479" s="5">
        <v>474</v>
      </c>
      <c r="C479" s="263"/>
      <c r="D479" s="264"/>
      <c r="E479" s="7"/>
      <c r="F479" s="248"/>
      <c r="G479" s="249"/>
      <c r="H479" s="250"/>
      <c r="I479" s="245"/>
      <c r="J479" s="246"/>
      <c r="K479" s="245"/>
      <c r="L479" s="246"/>
      <c r="M479" s="29"/>
    </row>
    <row r="480" spans="2:13" ht="20.100000000000001" hidden="1" customHeight="1" x14ac:dyDescent="0.15">
      <c r="B480" s="5">
        <v>475</v>
      </c>
      <c r="C480" s="263"/>
      <c r="D480" s="264"/>
      <c r="E480" s="7"/>
      <c r="F480" s="248"/>
      <c r="G480" s="249"/>
      <c r="H480" s="250"/>
      <c r="I480" s="245"/>
      <c r="J480" s="246"/>
      <c r="K480" s="245"/>
      <c r="L480" s="246"/>
      <c r="M480" s="29"/>
    </row>
    <row r="481" spans="2:13" ht="20.100000000000001" hidden="1" customHeight="1" x14ac:dyDescent="0.15">
      <c r="B481" s="5">
        <v>476</v>
      </c>
      <c r="C481" s="263"/>
      <c r="D481" s="264"/>
      <c r="E481" s="7"/>
      <c r="F481" s="248"/>
      <c r="G481" s="249"/>
      <c r="H481" s="250"/>
      <c r="I481" s="245"/>
      <c r="J481" s="246"/>
      <c r="K481" s="245"/>
      <c r="L481" s="246"/>
      <c r="M481" s="29"/>
    </row>
    <row r="482" spans="2:13" ht="20.100000000000001" hidden="1" customHeight="1" x14ac:dyDescent="0.15">
      <c r="B482" s="5">
        <v>477</v>
      </c>
      <c r="C482" s="263"/>
      <c r="D482" s="264"/>
      <c r="E482" s="7"/>
      <c r="F482" s="248"/>
      <c r="G482" s="249"/>
      <c r="H482" s="250"/>
      <c r="I482" s="245"/>
      <c r="J482" s="246"/>
      <c r="K482" s="245"/>
      <c r="L482" s="246"/>
      <c r="M482" s="29"/>
    </row>
    <row r="483" spans="2:13" ht="20.100000000000001" hidden="1" customHeight="1" x14ac:dyDescent="0.15">
      <c r="B483" s="5">
        <v>478</v>
      </c>
      <c r="C483" s="263"/>
      <c r="D483" s="264"/>
      <c r="E483" s="7"/>
      <c r="F483" s="248"/>
      <c r="G483" s="249"/>
      <c r="H483" s="250"/>
      <c r="I483" s="245"/>
      <c r="J483" s="246"/>
      <c r="K483" s="245"/>
      <c r="L483" s="246"/>
      <c r="M483" s="29"/>
    </row>
    <row r="484" spans="2:13" ht="20.100000000000001" hidden="1" customHeight="1" x14ac:dyDescent="0.15">
      <c r="B484" s="5">
        <v>479</v>
      </c>
      <c r="C484" s="263"/>
      <c r="D484" s="264"/>
      <c r="E484" s="7"/>
      <c r="F484" s="248"/>
      <c r="G484" s="249"/>
      <c r="H484" s="250"/>
      <c r="I484" s="245"/>
      <c r="J484" s="246"/>
      <c r="K484" s="245"/>
      <c r="L484" s="246"/>
      <c r="M484" s="29"/>
    </row>
    <row r="485" spans="2:13" ht="20.100000000000001" hidden="1" customHeight="1" x14ac:dyDescent="0.15">
      <c r="B485" s="5">
        <v>480</v>
      </c>
      <c r="C485" s="263"/>
      <c r="D485" s="264"/>
      <c r="E485" s="7"/>
      <c r="F485" s="248"/>
      <c r="G485" s="249"/>
      <c r="H485" s="250"/>
      <c r="I485" s="245"/>
      <c r="J485" s="246"/>
      <c r="K485" s="245"/>
      <c r="L485" s="246"/>
      <c r="M485" s="29"/>
    </row>
    <row r="486" spans="2:13" ht="20.100000000000001" hidden="1" customHeight="1" x14ac:dyDescent="0.15">
      <c r="B486" s="5">
        <v>481</v>
      </c>
      <c r="C486" s="263"/>
      <c r="D486" s="264"/>
      <c r="E486" s="7"/>
      <c r="F486" s="248"/>
      <c r="G486" s="249"/>
      <c r="H486" s="250"/>
      <c r="I486" s="245"/>
      <c r="J486" s="246"/>
      <c r="K486" s="245"/>
      <c r="L486" s="246"/>
      <c r="M486" s="29"/>
    </row>
    <row r="487" spans="2:13" ht="20.100000000000001" hidden="1" customHeight="1" x14ac:dyDescent="0.15">
      <c r="B487" s="5">
        <v>482</v>
      </c>
      <c r="C487" s="263"/>
      <c r="D487" s="264"/>
      <c r="E487" s="7"/>
      <c r="F487" s="248"/>
      <c r="G487" s="249"/>
      <c r="H487" s="250"/>
      <c r="I487" s="245"/>
      <c r="J487" s="246"/>
      <c r="K487" s="245"/>
      <c r="L487" s="246"/>
      <c r="M487" s="29"/>
    </row>
    <row r="488" spans="2:13" ht="20.100000000000001" hidden="1" customHeight="1" x14ac:dyDescent="0.15">
      <c r="B488" s="5">
        <v>483</v>
      </c>
      <c r="C488" s="263"/>
      <c r="D488" s="264"/>
      <c r="E488" s="7"/>
      <c r="F488" s="248"/>
      <c r="G488" s="249"/>
      <c r="H488" s="250"/>
      <c r="I488" s="245"/>
      <c r="J488" s="246"/>
      <c r="K488" s="245"/>
      <c r="L488" s="246"/>
      <c r="M488" s="29"/>
    </row>
    <row r="489" spans="2:13" ht="20.100000000000001" hidden="1" customHeight="1" x14ac:dyDescent="0.15">
      <c r="B489" s="5">
        <v>484</v>
      </c>
      <c r="C489" s="263"/>
      <c r="D489" s="264"/>
      <c r="E489" s="7"/>
      <c r="F489" s="248"/>
      <c r="G489" s="249"/>
      <c r="H489" s="250"/>
      <c r="I489" s="245"/>
      <c r="J489" s="246"/>
      <c r="K489" s="245"/>
      <c r="L489" s="246"/>
      <c r="M489" s="29"/>
    </row>
    <row r="490" spans="2:13" ht="20.100000000000001" hidden="1" customHeight="1" x14ac:dyDescent="0.15">
      <c r="B490" s="5">
        <v>485</v>
      </c>
      <c r="C490" s="263"/>
      <c r="D490" s="264"/>
      <c r="E490" s="7"/>
      <c r="F490" s="248"/>
      <c r="G490" s="249"/>
      <c r="H490" s="250"/>
      <c r="I490" s="245"/>
      <c r="J490" s="246"/>
      <c r="K490" s="245"/>
      <c r="L490" s="246"/>
      <c r="M490" s="29"/>
    </row>
    <row r="491" spans="2:13" ht="20.100000000000001" hidden="1" customHeight="1" x14ac:dyDescent="0.15">
      <c r="B491" s="5">
        <v>486</v>
      </c>
      <c r="C491" s="263"/>
      <c r="D491" s="264"/>
      <c r="E491" s="7"/>
      <c r="F491" s="248"/>
      <c r="G491" s="249"/>
      <c r="H491" s="250"/>
      <c r="I491" s="245"/>
      <c r="J491" s="246"/>
      <c r="K491" s="245"/>
      <c r="L491" s="246"/>
      <c r="M491" s="29"/>
    </row>
    <row r="492" spans="2:13" ht="20.100000000000001" hidden="1" customHeight="1" x14ac:dyDescent="0.15">
      <c r="B492" s="5">
        <v>487</v>
      </c>
      <c r="C492" s="263"/>
      <c r="D492" s="264"/>
      <c r="E492" s="7"/>
      <c r="F492" s="248"/>
      <c r="G492" s="249"/>
      <c r="H492" s="250"/>
      <c r="I492" s="245"/>
      <c r="J492" s="246"/>
      <c r="K492" s="245"/>
      <c r="L492" s="246"/>
      <c r="M492" s="29"/>
    </row>
    <row r="493" spans="2:13" ht="20.100000000000001" hidden="1" customHeight="1" x14ac:dyDescent="0.15">
      <c r="B493" s="5">
        <v>488</v>
      </c>
      <c r="C493" s="263"/>
      <c r="D493" s="264"/>
      <c r="E493" s="7"/>
      <c r="F493" s="248"/>
      <c r="G493" s="249"/>
      <c r="H493" s="250"/>
      <c r="I493" s="245"/>
      <c r="J493" s="246"/>
      <c r="K493" s="245"/>
      <c r="L493" s="246"/>
      <c r="M493" s="29"/>
    </row>
    <row r="494" spans="2:13" ht="20.100000000000001" hidden="1" customHeight="1" x14ac:dyDescent="0.15">
      <c r="B494" s="5">
        <v>489</v>
      </c>
      <c r="C494" s="263"/>
      <c r="D494" s="264"/>
      <c r="E494" s="7"/>
      <c r="F494" s="248"/>
      <c r="G494" s="249"/>
      <c r="H494" s="250"/>
      <c r="I494" s="245"/>
      <c r="J494" s="246"/>
      <c r="K494" s="245"/>
      <c r="L494" s="246"/>
      <c r="M494" s="29"/>
    </row>
    <row r="495" spans="2:13" ht="20.100000000000001" hidden="1" customHeight="1" x14ac:dyDescent="0.15">
      <c r="B495" s="5">
        <v>490</v>
      </c>
      <c r="C495" s="263"/>
      <c r="D495" s="264"/>
      <c r="E495" s="7"/>
      <c r="F495" s="248"/>
      <c r="G495" s="249"/>
      <c r="H495" s="250"/>
      <c r="I495" s="245"/>
      <c r="J495" s="246"/>
      <c r="K495" s="245"/>
      <c r="L495" s="246"/>
      <c r="M495" s="29"/>
    </row>
    <row r="496" spans="2:13" ht="20.100000000000001" hidden="1" customHeight="1" x14ac:dyDescent="0.15">
      <c r="B496" s="5">
        <v>491</v>
      </c>
      <c r="C496" s="263"/>
      <c r="D496" s="264"/>
      <c r="E496" s="7"/>
      <c r="F496" s="248"/>
      <c r="G496" s="249"/>
      <c r="H496" s="250"/>
      <c r="I496" s="245"/>
      <c r="J496" s="246"/>
      <c r="K496" s="245"/>
      <c r="L496" s="246"/>
      <c r="M496" s="29"/>
    </row>
    <row r="497" spans="2:13" ht="20.100000000000001" hidden="1" customHeight="1" x14ac:dyDescent="0.15">
      <c r="B497" s="5">
        <v>492</v>
      </c>
      <c r="C497" s="263"/>
      <c r="D497" s="264"/>
      <c r="E497" s="7"/>
      <c r="F497" s="248"/>
      <c r="G497" s="249"/>
      <c r="H497" s="250"/>
      <c r="I497" s="245"/>
      <c r="J497" s="246"/>
      <c r="K497" s="245"/>
      <c r="L497" s="246"/>
      <c r="M497" s="29"/>
    </row>
    <row r="498" spans="2:13" ht="20.100000000000001" hidden="1" customHeight="1" x14ac:dyDescent="0.15">
      <c r="B498" s="5">
        <v>493</v>
      </c>
      <c r="C498" s="263"/>
      <c r="D498" s="264"/>
      <c r="E498" s="7"/>
      <c r="F498" s="248"/>
      <c r="G498" s="249"/>
      <c r="H498" s="250"/>
      <c r="I498" s="245"/>
      <c r="J498" s="246"/>
      <c r="K498" s="245"/>
      <c r="L498" s="246"/>
      <c r="M498" s="29"/>
    </row>
    <row r="499" spans="2:13" ht="20.100000000000001" hidden="1" customHeight="1" x14ac:dyDescent="0.15">
      <c r="B499" s="5">
        <v>494</v>
      </c>
      <c r="C499" s="263"/>
      <c r="D499" s="264"/>
      <c r="E499" s="7"/>
      <c r="F499" s="248"/>
      <c r="G499" s="249"/>
      <c r="H499" s="250"/>
      <c r="I499" s="245"/>
      <c r="J499" s="246"/>
      <c r="K499" s="245"/>
      <c r="L499" s="246"/>
      <c r="M499" s="29"/>
    </row>
    <row r="500" spans="2:13" ht="20.100000000000001" hidden="1" customHeight="1" x14ac:dyDescent="0.15">
      <c r="B500" s="5">
        <v>495</v>
      </c>
      <c r="C500" s="263"/>
      <c r="D500" s="264"/>
      <c r="E500" s="7"/>
      <c r="F500" s="248"/>
      <c r="G500" s="249"/>
      <c r="H500" s="250"/>
      <c r="I500" s="245"/>
      <c r="J500" s="246"/>
      <c r="K500" s="245"/>
      <c r="L500" s="246"/>
      <c r="M500" s="29"/>
    </row>
    <row r="501" spans="2:13" ht="20.100000000000001" hidden="1" customHeight="1" x14ac:dyDescent="0.15">
      <c r="B501" s="5">
        <v>496</v>
      </c>
      <c r="C501" s="263"/>
      <c r="D501" s="264"/>
      <c r="E501" s="7"/>
      <c r="F501" s="248"/>
      <c r="G501" s="249"/>
      <c r="H501" s="250"/>
      <c r="I501" s="245"/>
      <c r="J501" s="246"/>
      <c r="K501" s="245"/>
      <c r="L501" s="246"/>
      <c r="M501" s="29"/>
    </row>
    <row r="502" spans="2:13" ht="20.100000000000001" hidden="1" customHeight="1" x14ac:dyDescent="0.15">
      <c r="B502" s="5">
        <v>497</v>
      </c>
      <c r="C502" s="263"/>
      <c r="D502" s="264"/>
      <c r="E502" s="7"/>
      <c r="F502" s="248"/>
      <c r="G502" s="249"/>
      <c r="H502" s="250"/>
      <c r="I502" s="245"/>
      <c r="J502" s="246"/>
      <c r="K502" s="245"/>
      <c r="L502" s="246"/>
      <c r="M502" s="29"/>
    </row>
    <row r="503" spans="2:13" ht="20.100000000000001" hidden="1" customHeight="1" x14ac:dyDescent="0.15">
      <c r="B503" s="5">
        <v>498</v>
      </c>
      <c r="C503" s="263"/>
      <c r="D503" s="264"/>
      <c r="E503" s="7"/>
      <c r="F503" s="248"/>
      <c r="G503" s="249"/>
      <c r="H503" s="250"/>
      <c r="I503" s="245"/>
      <c r="J503" s="246"/>
      <c r="K503" s="245"/>
      <c r="L503" s="246"/>
      <c r="M503" s="29"/>
    </row>
    <row r="504" spans="2:13" ht="20.100000000000001" hidden="1" customHeight="1" x14ac:dyDescent="0.15">
      <c r="B504" s="5">
        <v>499</v>
      </c>
      <c r="C504" s="263"/>
      <c r="D504" s="264"/>
      <c r="E504" s="7"/>
      <c r="F504" s="248"/>
      <c r="G504" s="249"/>
      <c r="H504" s="250"/>
      <c r="I504" s="245"/>
      <c r="J504" s="246"/>
      <c r="K504" s="245"/>
      <c r="L504" s="246"/>
      <c r="M504" s="29"/>
    </row>
    <row r="505" spans="2:13" ht="20.100000000000001" hidden="1" customHeight="1" thickBot="1" x14ac:dyDescent="0.2">
      <c r="B505" s="5">
        <v>500</v>
      </c>
      <c r="C505" s="279"/>
      <c r="D505" s="280"/>
      <c r="E505" s="7"/>
      <c r="F505" s="248"/>
      <c r="G505" s="249"/>
      <c r="H505" s="250"/>
      <c r="I505" s="245"/>
      <c r="J505" s="246"/>
      <c r="K505" s="245"/>
      <c r="L505" s="246"/>
      <c r="M505" s="29"/>
    </row>
    <row r="506" spans="2:13" ht="21.95" customHeight="1" thickBot="1" x14ac:dyDescent="0.2">
      <c r="B506" s="268" t="s">
        <v>761</v>
      </c>
      <c r="C506" s="269"/>
      <c r="D506" s="270"/>
      <c r="E506" s="271" t="str">
        <f>IF(I506&lt;&gt;K506,"",SUBSTITUTE(IF(-DOLLAR(I506),IF(I506&gt;0,,"负")&amp;TEXT(INT(ABS(I506)+0.5%),"[dbnum2]G/通用格式元;;")&amp;TEXT(RIGHT(DOLLAR(I506),2),"[&gt;9][dbnum2]0角0分;"&amp;IF(I506^2&lt;1,,0)&amp;"[&gt;][dbnum2]0分;整"),),"零分","整"))</f>
        <v/>
      </c>
      <c r="F506" s="272"/>
      <c r="G506" s="272"/>
      <c r="H506" s="273"/>
      <c r="I506" s="252">
        <f>ROUND(SUM(I6:J505),2)</f>
        <v>0</v>
      </c>
      <c r="J506" s="267"/>
      <c r="K506" s="252">
        <f>ROUND(SUM(K6:L505),2)</f>
        <v>0</v>
      </c>
      <c r="L506" s="253"/>
      <c r="M506" s="28"/>
    </row>
    <row r="507" spans="2:13" ht="20.100000000000001" customHeight="1" x14ac:dyDescent="0.15">
      <c r="D507" s="115" t="s">
        <v>758</v>
      </c>
      <c r="E507" s="33"/>
      <c r="F507" s="33"/>
      <c r="G507" s="115" t="s">
        <v>759</v>
      </c>
      <c r="H507" s="33"/>
      <c r="I507" s="33"/>
      <c r="J507" s="33"/>
      <c r="K507" s="115" t="s">
        <v>760</v>
      </c>
      <c r="L507" s="33" t="s">
        <v>776</v>
      </c>
    </row>
    <row r="508" spans="2:13" ht="20.100000000000001" customHeight="1" x14ac:dyDescent="0.15">
      <c r="I508" s="14"/>
    </row>
    <row r="509" spans="2:13" ht="20.100000000000001" customHeight="1" x14ac:dyDescent="0.15"/>
    <row r="510" spans="2:13" ht="20.100000000000001" customHeight="1" x14ac:dyDescent="0.15"/>
  </sheetData>
  <sheetProtection formatCells="0" formatColumns="0" formatRows="0"/>
  <mergeCells count="2014">
    <mergeCell ref="C502:D502"/>
    <mergeCell ref="C503:D503"/>
    <mergeCell ref="C504:D504"/>
    <mergeCell ref="C505:D505"/>
    <mergeCell ref="C496:D496"/>
    <mergeCell ref="C497:D497"/>
    <mergeCell ref="C498:D498"/>
    <mergeCell ref="C499:D499"/>
    <mergeCell ref="C500:D500"/>
    <mergeCell ref="C501:D501"/>
    <mergeCell ref="C490:D490"/>
    <mergeCell ref="C491:D491"/>
    <mergeCell ref="C492:D492"/>
    <mergeCell ref="C493:D493"/>
    <mergeCell ref="C494:D494"/>
    <mergeCell ref="C495:D495"/>
    <mergeCell ref="C484:D484"/>
    <mergeCell ref="C485:D485"/>
    <mergeCell ref="C486:D486"/>
    <mergeCell ref="C487:D487"/>
    <mergeCell ref="C488:D488"/>
    <mergeCell ref="C489:D489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C460:D460"/>
    <mergeCell ref="C461:D461"/>
    <mergeCell ref="C462:D462"/>
    <mergeCell ref="C463:D463"/>
    <mergeCell ref="C464:D464"/>
    <mergeCell ref="C465:D465"/>
    <mergeCell ref="C454:D454"/>
    <mergeCell ref="C455:D455"/>
    <mergeCell ref="C456:D456"/>
    <mergeCell ref="C457:D457"/>
    <mergeCell ref="C458:D458"/>
    <mergeCell ref="C459:D459"/>
    <mergeCell ref="C448:D448"/>
    <mergeCell ref="C449:D449"/>
    <mergeCell ref="C450:D450"/>
    <mergeCell ref="C451:D451"/>
    <mergeCell ref="C452:D452"/>
    <mergeCell ref="C453:D453"/>
    <mergeCell ref="C442:D442"/>
    <mergeCell ref="C443:D443"/>
    <mergeCell ref="C444:D444"/>
    <mergeCell ref="C445:D445"/>
    <mergeCell ref="C446:D446"/>
    <mergeCell ref="C447:D447"/>
    <mergeCell ref="C436:D436"/>
    <mergeCell ref="C437:D437"/>
    <mergeCell ref="C438:D438"/>
    <mergeCell ref="C439:D439"/>
    <mergeCell ref="C440:D440"/>
    <mergeCell ref="C441:D441"/>
    <mergeCell ref="C430:D430"/>
    <mergeCell ref="C431:D431"/>
    <mergeCell ref="C432:D432"/>
    <mergeCell ref="C433:D433"/>
    <mergeCell ref="C434:D434"/>
    <mergeCell ref="C435:D435"/>
    <mergeCell ref="C424:D424"/>
    <mergeCell ref="C425:D425"/>
    <mergeCell ref="C426:D426"/>
    <mergeCell ref="C427:D427"/>
    <mergeCell ref="C428:D428"/>
    <mergeCell ref="C429:D429"/>
    <mergeCell ref="C418:D418"/>
    <mergeCell ref="C419:D419"/>
    <mergeCell ref="C420:D420"/>
    <mergeCell ref="C421:D421"/>
    <mergeCell ref="C422:D422"/>
    <mergeCell ref="C423:D423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C394:D394"/>
    <mergeCell ref="C395:D395"/>
    <mergeCell ref="C396:D396"/>
    <mergeCell ref="C397:D397"/>
    <mergeCell ref="C398:D398"/>
    <mergeCell ref="C399:D399"/>
    <mergeCell ref="C388:D388"/>
    <mergeCell ref="C389:D389"/>
    <mergeCell ref="C390:D390"/>
    <mergeCell ref="C391:D391"/>
    <mergeCell ref="C392:D392"/>
    <mergeCell ref="C393:D393"/>
    <mergeCell ref="C382:D382"/>
    <mergeCell ref="C383:D383"/>
    <mergeCell ref="C384:D384"/>
    <mergeCell ref="C385:D385"/>
    <mergeCell ref="C386:D386"/>
    <mergeCell ref="C387:D387"/>
    <mergeCell ref="C376:D376"/>
    <mergeCell ref="C377:D377"/>
    <mergeCell ref="C378:D378"/>
    <mergeCell ref="C379:D379"/>
    <mergeCell ref="C380:D380"/>
    <mergeCell ref="C381:D381"/>
    <mergeCell ref="C370:D370"/>
    <mergeCell ref="C371:D371"/>
    <mergeCell ref="C372:D372"/>
    <mergeCell ref="C373:D373"/>
    <mergeCell ref="C374:D374"/>
    <mergeCell ref="C375:D375"/>
    <mergeCell ref="C364:D364"/>
    <mergeCell ref="C365:D365"/>
    <mergeCell ref="C366:D366"/>
    <mergeCell ref="C367:D367"/>
    <mergeCell ref="C368:D368"/>
    <mergeCell ref="C369:D369"/>
    <mergeCell ref="C358:D358"/>
    <mergeCell ref="C359:D359"/>
    <mergeCell ref="C360:D360"/>
    <mergeCell ref="C361:D361"/>
    <mergeCell ref="C362:D362"/>
    <mergeCell ref="C363:D363"/>
    <mergeCell ref="C352:D352"/>
    <mergeCell ref="C353:D353"/>
    <mergeCell ref="C354:D354"/>
    <mergeCell ref="C355:D355"/>
    <mergeCell ref="C356:D356"/>
    <mergeCell ref="C357:D357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C328:D328"/>
    <mergeCell ref="C329:D329"/>
    <mergeCell ref="C330:D330"/>
    <mergeCell ref="C331:D331"/>
    <mergeCell ref="C332:D332"/>
    <mergeCell ref="C333:D333"/>
    <mergeCell ref="C322:D322"/>
    <mergeCell ref="C323:D323"/>
    <mergeCell ref="C324:D324"/>
    <mergeCell ref="C325:D325"/>
    <mergeCell ref="C326:D326"/>
    <mergeCell ref="C327:D327"/>
    <mergeCell ref="C316:D316"/>
    <mergeCell ref="C317:D317"/>
    <mergeCell ref="C318:D318"/>
    <mergeCell ref="C319:D319"/>
    <mergeCell ref="C320:D320"/>
    <mergeCell ref="C321:D321"/>
    <mergeCell ref="C310:D310"/>
    <mergeCell ref="C311:D311"/>
    <mergeCell ref="C312:D312"/>
    <mergeCell ref="C313:D313"/>
    <mergeCell ref="C314:D314"/>
    <mergeCell ref="C315:D315"/>
    <mergeCell ref="C304:D304"/>
    <mergeCell ref="C305:D305"/>
    <mergeCell ref="C306:D306"/>
    <mergeCell ref="C307:D307"/>
    <mergeCell ref="C308:D308"/>
    <mergeCell ref="C309:D309"/>
    <mergeCell ref="C298:D298"/>
    <mergeCell ref="C299:D299"/>
    <mergeCell ref="C300:D300"/>
    <mergeCell ref="C301:D301"/>
    <mergeCell ref="C302:D302"/>
    <mergeCell ref="C303:D303"/>
    <mergeCell ref="C292:D292"/>
    <mergeCell ref="C293:D293"/>
    <mergeCell ref="C294:D294"/>
    <mergeCell ref="C295:D295"/>
    <mergeCell ref="C296:D296"/>
    <mergeCell ref="C297:D297"/>
    <mergeCell ref="C286:D286"/>
    <mergeCell ref="C287:D287"/>
    <mergeCell ref="C288:D288"/>
    <mergeCell ref="C289:D289"/>
    <mergeCell ref="C290:D290"/>
    <mergeCell ref="C291:D291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C262:D262"/>
    <mergeCell ref="C263:D263"/>
    <mergeCell ref="C264:D264"/>
    <mergeCell ref="C265:D265"/>
    <mergeCell ref="C266:D266"/>
    <mergeCell ref="C267:D267"/>
    <mergeCell ref="C256:D256"/>
    <mergeCell ref="C257:D257"/>
    <mergeCell ref="C258:D258"/>
    <mergeCell ref="C259:D259"/>
    <mergeCell ref="C260:D260"/>
    <mergeCell ref="C261:D261"/>
    <mergeCell ref="C250:D250"/>
    <mergeCell ref="C251:D251"/>
    <mergeCell ref="C252:D252"/>
    <mergeCell ref="C253:D253"/>
    <mergeCell ref="C254:D254"/>
    <mergeCell ref="C255:D255"/>
    <mergeCell ref="C244:D244"/>
    <mergeCell ref="C245:D245"/>
    <mergeCell ref="C246:D246"/>
    <mergeCell ref="C247:D247"/>
    <mergeCell ref="C248:D248"/>
    <mergeCell ref="C249:D249"/>
    <mergeCell ref="C238:D238"/>
    <mergeCell ref="C239:D239"/>
    <mergeCell ref="C240:D240"/>
    <mergeCell ref="C241:D241"/>
    <mergeCell ref="C242:D242"/>
    <mergeCell ref="C243:D243"/>
    <mergeCell ref="C232:D232"/>
    <mergeCell ref="C233:D233"/>
    <mergeCell ref="C234:D234"/>
    <mergeCell ref="C235:D235"/>
    <mergeCell ref="C236:D236"/>
    <mergeCell ref="C237:D237"/>
    <mergeCell ref="C226:D226"/>
    <mergeCell ref="C227:D227"/>
    <mergeCell ref="C228:D228"/>
    <mergeCell ref="C229:D229"/>
    <mergeCell ref="C230:D230"/>
    <mergeCell ref="C231:D231"/>
    <mergeCell ref="C220:D220"/>
    <mergeCell ref="C221:D221"/>
    <mergeCell ref="C222:D222"/>
    <mergeCell ref="C223:D223"/>
    <mergeCell ref="C224:D224"/>
    <mergeCell ref="C225:D225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C196:D196"/>
    <mergeCell ref="C197:D197"/>
    <mergeCell ref="C198:D198"/>
    <mergeCell ref="C199:D199"/>
    <mergeCell ref="C200:D200"/>
    <mergeCell ref="C201:D201"/>
    <mergeCell ref="C190:D190"/>
    <mergeCell ref="C191:D191"/>
    <mergeCell ref="C192:D192"/>
    <mergeCell ref="C193:D193"/>
    <mergeCell ref="C194:D194"/>
    <mergeCell ref="C195:D195"/>
    <mergeCell ref="C184:D184"/>
    <mergeCell ref="C185:D185"/>
    <mergeCell ref="C186:D186"/>
    <mergeCell ref="C187:D187"/>
    <mergeCell ref="C188:D188"/>
    <mergeCell ref="C189:D189"/>
    <mergeCell ref="C178:D178"/>
    <mergeCell ref="C179:D179"/>
    <mergeCell ref="C180:D180"/>
    <mergeCell ref="C181:D181"/>
    <mergeCell ref="C182:D182"/>
    <mergeCell ref="C183:D183"/>
    <mergeCell ref="C172:D172"/>
    <mergeCell ref="C173:D173"/>
    <mergeCell ref="C174:D174"/>
    <mergeCell ref="C175:D175"/>
    <mergeCell ref="C176:D176"/>
    <mergeCell ref="C177:D177"/>
    <mergeCell ref="C166:D166"/>
    <mergeCell ref="C167:D167"/>
    <mergeCell ref="C168:D168"/>
    <mergeCell ref="C169:D169"/>
    <mergeCell ref="C170:D170"/>
    <mergeCell ref="C171:D171"/>
    <mergeCell ref="C160:D160"/>
    <mergeCell ref="C161:D161"/>
    <mergeCell ref="C162:D162"/>
    <mergeCell ref="C163:D163"/>
    <mergeCell ref="C164:D164"/>
    <mergeCell ref="C165:D165"/>
    <mergeCell ref="C154:D154"/>
    <mergeCell ref="C155:D155"/>
    <mergeCell ref="C156:D156"/>
    <mergeCell ref="C157:D157"/>
    <mergeCell ref="C158:D158"/>
    <mergeCell ref="C159:D159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C130:D130"/>
    <mergeCell ref="C131:D131"/>
    <mergeCell ref="C132:D132"/>
    <mergeCell ref="C133:D133"/>
    <mergeCell ref="C134:D134"/>
    <mergeCell ref="C135:D135"/>
    <mergeCell ref="C124:D124"/>
    <mergeCell ref="C125:D125"/>
    <mergeCell ref="C126:D126"/>
    <mergeCell ref="C127:D127"/>
    <mergeCell ref="C128:D128"/>
    <mergeCell ref="C129:D129"/>
    <mergeCell ref="C118:D118"/>
    <mergeCell ref="C119:D119"/>
    <mergeCell ref="C120:D120"/>
    <mergeCell ref="C121:D121"/>
    <mergeCell ref="C122:D122"/>
    <mergeCell ref="C123:D123"/>
    <mergeCell ref="C112:D112"/>
    <mergeCell ref="C113:D113"/>
    <mergeCell ref="C114:D114"/>
    <mergeCell ref="C115:D115"/>
    <mergeCell ref="C116:D116"/>
    <mergeCell ref="C117:D117"/>
    <mergeCell ref="C106:D106"/>
    <mergeCell ref="C107:D107"/>
    <mergeCell ref="C108:D108"/>
    <mergeCell ref="C109:D109"/>
    <mergeCell ref="C110:D110"/>
    <mergeCell ref="C111:D111"/>
    <mergeCell ref="C100:D100"/>
    <mergeCell ref="C101:D101"/>
    <mergeCell ref="C102:D102"/>
    <mergeCell ref="C103:D103"/>
    <mergeCell ref="C104:D104"/>
    <mergeCell ref="C105:D105"/>
    <mergeCell ref="C94:D94"/>
    <mergeCell ref="C95:D95"/>
    <mergeCell ref="C96:D96"/>
    <mergeCell ref="C97:D97"/>
    <mergeCell ref="C98:D98"/>
    <mergeCell ref="C99:D99"/>
    <mergeCell ref="C88:D88"/>
    <mergeCell ref="C89:D89"/>
    <mergeCell ref="C90:D90"/>
    <mergeCell ref="C91:D91"/>
    <mergeCell ref="C92:D92"/>
    <mergeCell ref="C93:D93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C34:D34"/>
    <mergeCell ref="C35:D35"/>
    <mergeCell ref="C36:D36"/>
    <mergeCell ref="C37:D37"/>
    <mergeCell ref="C38:D38"/>
    <mergeCell ref="C39:D39"/>
    <mergeCell ref="C64:D64"/>
    <mergeCell ref="C65:D65"/>
    <mergeCell ref="C66:D66"/>
    <mergeCell ref="C67:D67"/>
    <mergeCell ref="C68:D68"/>
    <mergeCell ref="C69:D69"/>
    <mergeCell ref="C58:D58"/>
    <mergeCell ref="C59:D59"/>
    <mergeCell ref="C60:D60"/>
    <mergeCell ref="C61:D61"/>
    <mergeCell ref="C62:D62"/>
    <mergeCell ref="C63:D63"/>
    <mergeCell ref="C52:D52"/>
    <mergeCell ref="C53:D53"/>
    <mergeCell ref="C54:D54"/>
    <mergeCell ref="C55:D55"/>
    <mergeCell ref="C56:D56"/>
    <mergeCell ref="C57:D57"/>
    <mergeCell ref="B4:D5"/>
    <mergeCell ref="C6:D6"/>
    <mergeCell ref="F21:H21"/>
    <mergeCell ref="F22:H22"/>
    <mergeCell ref="F23:H23"/>
    <mergeCell ref="F24:H24"/>
    <mergeCell ref="F25:H25"/>
    <mergeCell ref="F26:H26"/>
    <mergeCell ref="F27:H27"/>
    <mergeCell ref="F28:H28"/>
    <mergeCell ref="F29:H29"/>
    <mergeCell ref="F30:H30"/>
    <mergeCell ref="C28:D28"/>
    <mergeCell ref="C29:D29"/>
    <mergeCell ref="C30:D30"/>
    <mergeCell ref="C31:D31"/>
    <mergeCell ref="C32:D32"/>
    <mergeCell ref="C22:D22"/>
    <mergeCell ref="C23:D23"/>
    <mergeCell ref="C24:D24"/>
    <mergeCell ref="C25:D25"/>
    <mergeCell ref="C26:D26"/>
    <mergeCell ref="C27:D27"/>
    <mergeCell ref="C16:D16"/>
    <mergeCell ref="C17:D17"/>
    <mergeCell ref="C18:D18"/>
    <mergeCell ref="C19:D19"/>
    <mergeCell ref="C20:D20"/>
    <mergeCell ref="C21:D21"/>
    <mergeCell ref="C10:D10"/>
    <mergeCell ref="C11:D11"/>
    <mergeCell ref="C12:D12"/>
    <mergeCell ref="C13:D13"/>
    <mergeCell ref="C14:D14"/>
    <mergeCell ref="C15:D15"/>
    <mergeCell ref="C7:D7"/>
    <mergeCell ref="C9:D9"/>
    <mergeCell ref="I8:J8"/>
    <mergeCell ref="I9:J9"/>
    <mergeCell ref="I7:J7"/>
    <mergeCell ref="C8:D8"/>
    <mergeCell ref="I506:J506"/>
    <mergeCell ref="B506:D506"/>
    <mergeCell ref="E506:H506"/>
    <mergeCell ref="F6:H6"/>
    <mergeCell ref="F7:H7"/>
    <mergeCell ref="F8:H8"/>
    <mergeCell ref="F9:H9"/>
    <mergeCell ref="C33:D33"/>
    <mergeCell ref="C46:D46"/>
    <mergeCell ref="C47:D47"/>
    <mergeCell ref="C48:D48"/>
    <mergeCell ref="C49:D49"/>
    <mergeCell ref="C50:D50"/>
    <mergeCell ref="C51:D51"/>
    <mergeCell ref="C40:D40"/>
    <mergeCell ref="C41:D41"/>
    <mergeCell ref="C42:D42"/>
    <mergeCell ref="C43:D43"/>
    <mergeCell ref="C44:D44"/>
    <mergeCell ref="C45:D45"/>
    <mergeCell ref="F32:H32"/>
    <mergeCell ref="F33:H33"/>
    <mergeCell ref="F34:H34"/>
    <mergeCell ref="O4:O5"/>
    <mergeCell ref="K506:L506"/>
    <mergeCell ref="K8:L8"/>
    <mergeCell ref="K9:L9"/>
    <mergeCell ref="K7:L7"/>
    <mergeCell ref="N4:N5"/>
    <mergeCell ref="K6:L6"/>
    <mergeCell ref="K10:L10"/>
    <mergeCell ref="K11:L11"/>
    <mergeCell ref="K12:L12"/>
    <mergeCell ref="I6:J6"/>
    <mergeCell ref="F2:H2"/>
    <mergeCell ref="I4:J5"/>
    <mergeCell ref="E1:I1"/>
    <mergeCell ref="M4:M5"/>
    <mergeCell ref="K4:L5"/>
    <mergeCell ref="I11:J11"/>
    <mergeCell ref="I10:J10"/>
    <mergeCell ref="F11:H11"/>
    <mergeCell ref="F10:H10"/>
    <mergeCell ref="F12:H12"/>
    <mergeCell ref="F13:H13"/>
    <mergeCell ref="I12:J12"/>
    <mergeCell ref="I13:J13"/>
    <mergeCell ref="F14:H14"/>
    <mergeCell ref="F15:H15"/>
    <mergeCell ref="F16:H16"/>
    <mergeCell ref="F17:H17"/>
    <mergeCell ref="F18:H18"/>
    <mergeCell ref="F19:H19"/>
    <mergeCell ref="F20:H20"/>
    <mergeCell ref="F31:H31"/>
    <mergeCell ref="F35:H35"/>
    <mergeCell ref="F36:H36"/>
    <mergeCell ref="F37:H37"/>
    <mergeCell ref="F38:H38"/>
    <mergeCell ref="F39:H39"/>
    <mergeCell ref="F40:H40"/>
    <mergeCell ref="F41:H41"/>
    <mergeCell ref="F42:H42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66:H66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78:H78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0:H90"/>
    <mergeCell ref="F91:H91"/>
    <mergeCell ref="F92:H92"/>
    <mergeCell ref="F93:H93"/>
    <mergeCell ref="F94:H94"/>
    <mergeCell ref="F95:H95"/>
    <mergeCell ref="F96:H96"/>
    <mergeCell ref="F97:H97"/>
    <mergeCell ref="F98:H98"/>
    <mergeCell ref="F99:H99"/>
    <mergeCell ref="F100:H100"/>
    <mergeCell ref="F101:H101"/>
    <mergeCell ref="F102:H102"/>
    <mergeCell ref="F103:H103"/>
    <mergeCell ref="F104:H104"/>
    <mergeCell ref="F105:H105"/>
    <mergeCell ref="F106:H106"/>
    <mergeCell ref="F107:H107"/>
    <mergeCell ref="F108:H108"/>
    <mergeCell ref="F109:H109"/>
    <mergeCell ref="F110:H110"/>
    <mergeCell ref="F111:H111"/>
    <mergeCell ref="F112:H112"/>
    <mergeCell ref="F113:H113"/>
    <mergeCell ref="F114:H114"/>
    <mergeCell ref="F115:H115"/>
    <mergeCell ref="F116:H116"/>
    <mergeCell ref="F117:H117"/>
    <mergeCell ref="F118:H118"/>
    <mergeCell ref="F119:H119"/>
    <mergeCell ref="F120:H120"/>
    <mergeCell ref="F121:H121"/>
    <mergeCell ref="F122:H122"/>
    <mergeCell ref="F123:H123"/>
    <mergeCell ref="F124:H124"/>
    <mergeCell ref="F125:H125"/>
    <mergeCell ref="F126:H126"/>
    <mergeCell ref="F127:H127"/>
    <mergeCell ref="F128:H128"/>
    <mergeCell ref="F129:H129"/>
    <mergeCell ref="F130:H130"/>
    <mergeCell ref="F131:H131"/>
    <mergeCell ref="F132:H132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F144:H144"/>
    <mergeCell ref="F145:H145"/>
    <mergeCell ref="F146:H146"/>
    <mergeCell ref="F147:H147"/>
    <mergeCell ref="F148:H148"/>
    <mergeCell ref="F149:H149"/>
    <mergeCell ref="F150:H150"/>
    <mergeCell ref="F151:H151"/>
    <mergeCell ref="F152:H152"/>
    <mergeCell ref="F153:H153"/>
    <mergeCell ref="F154:H154"/>
    <mergeCell ref="F155:H155"/>
    <mergeCell ref="F156:H156"/>
    <mergeCell ref="F157:H157"/>
    <mergeCell ref="F158:H158"/>
    <mergeCell ref="F159:H159"/>
    <mergeCell ref="F160:H160"/>
    <mergeCell ref="F161:H161"/>
    <mergeCell ref="F162:H162"/>
    <mergeCell ref="F163:H163"/>
    <mergeCell ref="F164:H164"/>
    <mergeCell ref="F165:H165"/>
    <mergeCell ref="F166:H166"/>
    <mergeCell ref="F167:H167"/>
    <mergeCell ref="F168:H168"/>
    <mergeCell ref="F169:H169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82:H182"/>
    <mergeCell ref="F183:H183"/>
    <mergeCell ref="F184:H184"/>
    <mergeCell ref="F185:H185"/>
    <mergeCell ref="F186:H186"/>
    <mergeCell ref="F187:H187"/>
    <mergeCell ref="F188:H188"/>
    <mergeCell ref="F189:H189"/>
    <mergeCell ref="F190:H190"/>
    <mergeCell ref="F191:H191"/>
    <mergeCell ref="F192:H192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08:H208"/>
    <mergeCell ref="F209:H209"/>
    <mergeCell ref="F210:H210"/>
    <mergeCell ref="F211:H211"/>
    <mergeCell ref="F212:H212"/>
    <mergeCell ref="F213:H213"/>
    <mergeCell ref="F214:H214"/>
    <mergeCell ref="F215:H215"/>
    <mergeCell ref="F216:H216"/>
    <mergeCell ref="F217:H217"/>
    <mergeCell ref="F218:H218"/>
    <mergeCell ref="F219:H219"/>
    <mergeCell ref="F220:H220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F233:H233"/>
    <mergeCell ref="F234:H234"/>
    <mergeCell ref="F235:H235"/>
    <mergeCell ref="F236:H236"/>
    <mergeCell ref="F237:H237"/>
    <mergeCell ref="F238:H238"/>
    <mergeCell ref="F239:H239"/>
    <mergeCell ref="F240:H240"/>
    <mergeCell ref="F241:H241"/>
    <mergeCell ref="F242:H242"/>
    <mergeCell ref="F243:H243"/>
    <mergeCell ref="F244:H244"/>
    <mergeCell ref="F245:H245"/>
    <mergeCell ref="F246:H246"/>
    <mergeCell ref="F247:H247"/>
    <mergeCell ref="F248:H248"/>
    <mergeCell ref="F249:H249"/>
    <mergeCell ref="F250:H250"/>
    <mergeCell ref="F251:H251"/>
    <mergeCell ref="F252:H252"/>
    <mergeCell ref="F253:H253"/>
    <mergeCell ref="F254:H254"/>
    <mergeCell ref="F255:H255"/>
    <mergeCell ref="F256:H256"/>
    <mergeCell ref="F257:H257"/>
    <mergeCell ref="F258:H258"/>
    <mergeCell ref="F259:H259"/>
    <mergeCell ref="F260:H260"/>
    <mergeCell ref="F261:H261"/>
    <mergeCell ref="F262:H262"/>
    <mergeCell ref="F263:H263"/>
    <mergeCell ref="F264:H264"/>
    <mergeCell ref="F265:H265"/>
    <mergeCell ref="F266:H266"/>
    <mergeCell ref="F267:H267"/>
    <mergeCell ref="F268:H268"/>
    <mergeCell ref="F269:H269"/>
    <mergeCell ref="F270:H270"/>
    <mergeCell ref="F271:H271"/>
    <mergeCell ref="F272:H272"/>
    <mergeCell ref="F273:H273"/>
    <mergeCell ref="F274:H274"/>
    <mergeCell ref="F275:H275"/>
    <mergeCell ref="F276:H276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289:H289"/>
    <mergeCell ref="F290:H290"/>
    <mergeCell ref="F291:H291"/>
    <mergeCell ref="F292:H292"/>
    <mergeCell ref="F293:H293"/>
    <mergeCell ref="F294:H294"/>
    <mergeCell ref="F295:H295"/>
    <mergeCell ref="F296:H296"/>
    <mergeCell ref="F297:H297"/>
    <mergeCell ref="F298:H298"/>
    <mergeCell ref="F299:H299"/>
    <mergeCell ref="F300:H300"/>
    <mergeCell ref="F301:H301"/>
    <mergeCell ref="F302:H302"/>
    <mergeCell ref="F303:H303"/>
    <mergeCell ref="F304:H304"/>
    <mergeCell ref="F305:H305"/>
    <mergeCell ref="F306:H306"/>
    <mergeCell ref="F307:H307"/>
    <mergeCell ref="F308:H308"/>
    <mergeCell ref="F309:H309"/>
    <mergeCell ref="F310:H310"/>
    <mergeCell ref="F311:H311"/>
    <mergeCell ref="F312:H312"/>
    <mergeCell ref="F313:H313"/>
    <mergeCell ref="F314:H314"/>
    <mergeCell ref="F315:H315"/>
    <mergeCell ref="F316:H316"/>
    <mergeCell ref="F317:H317"/>
    <mergeCell ref="F318:H318"/>
    <mergeCell ref="F319:H319"/>
    <mergeCell ref="F320:H320"/>
    <mergeCell ref="F321:H321"/>
    <mergeCell ref="F322:H322"/>
    <mergeCell ref="F323:H323"/>
    <mergeCell ref="F324:H324"/>
    <mergeCell ref="F325:H325"/>
    <mergeCell ref="F326:H326"/>
    <mergeCell ref="F327:H327"/>
    <mergeCell ref="F328:H328"/>
    <mergeCell ref="F329:H329"/>
    <mergeCell ref="F330:H330"/>
    <mergeCell ref="F331:H331"/>
    <mergeCell ref="F332:H332"/>
    <mergeCell ref="F333:H333"/>
    <mergeCell ref="F334:H334"/>
    <mergeCell ref="F335:H335"/>
    <mergeCell ref="F336:H336"/>
    <mergeCell ref="F337:H337"/>
    <mergeCell ref="F338:H338"/>
    <mergeCell ref="F339:H339"/>
    <mergeCell ref="F340:H340"/>
    <mergeCell ref="F341:H341"/>
    <mergeCell ref="F342:H342"/>
    <mergeCell ref="F343:H343"/>
    <mergeCell ref="F344:H344"/>
    <mergeCell ref="F345:H345"/>
    <mergeCell ref="F346:H346"/>
    <mergeCell ref="F347:H347"/>
    <mergeCell ref="F348:H348"/>
    <mergeCell ref="F349:H349"/>
    <mergeCell ref="F350:H350"/>
    <mergeCell ref="F351:H351"/>
    <mergeCell ref="F352:H352"/>
    <mergeCell ref="F353:H353"/>
    <mergeCell ref="F354:H354"/>
    <mergeCell ref="F355:H355"/>
    <mergeCell ref="F356:H356"/>
    <mergeCell ref="F357:H357"/>
    <mergeCell ref="F358:H358"/>
    <mergeCell ref="F359:H359"/>
    <mergeCell ref="F360:H360"/>
    <mergeCell ref="F361:H361"/>
    <mergeCell ref="F362:H362"/>
    <mergeCell ref="F363:H363"/>
    <mergeCell ref="F364:H364"/>
    <mergeCell ref="F365:H365"/>
    <mergeCell ref="F366:H366"/>
    <mergeCell ref="F367:H367"/>
    <mergeCell ref="F368:H368"/>
    <mergeCell ref="F369:H369"/>
    <mergeCell ref="F370:H370"/>
    <mergeCell ref="F371:H371"/>
    <mergeCell ref="F372:H372"/>
    <mergeCell ref="F373:H373"/>
    <mergeCell ref="F374:H374"/>
    <mergeCell ref="F375:H375"/>
    <mergeCell ref="F376:H376"/>
    <mergeCell ref="F377:H377"/>
    <mergeCell ref="F378:H378"/>
    <mergeCell ref="F379:H379"/>
    <mergeCell ref="F380:H380"/>
    <mergeCell ref="F381:H381"/>
    <mergeCell ref="F382:H382"/>
    <mergeCell ref="F383:H383"/>
    <mergeCell ref="F384:H384"/>
    <mergeCell ref="F385:H385"/>
    <mergeCell ref="F386:H386"/>
    <mergeCell ref="F387:H387"/>
    <mergeCell ref="F388:H388"/>
    <mergeCell ref="F389:H389"/>
    <mergeCell ref="F390:H390"/>
    <mergeCell ref="F391:H391"/>
    <mergeCell ref="F392:H392"/>
    <mergeCell ref="F393:H393"/>
    <mergeCell ref="F394:H394"/>
    <mergeCell ref="F395:H395"/>
    <mergeCell ref="F396:H396"/>
    <mergeCell ref="F397:H397"/>
    <mergeCell ref="F398:H398"/>
    <mergeCell ref="F399:H399"/>
    <mergeCell ref="F400:H400"/>
    <mergeCell ref="F401:H401"/>
    <mergeCell ref="F402:H402"/>
    <mergeCell ref="F403:H403"/>
    <mergeCell ref="F404:H404"/>
    <mergeCell ref="F405:H405"/>
    <mergeCell ref="F406:H406"/>
    <mergeCell ref="F407:H407"/>
    <mergeCell ref="F408:H408"/>
    <mergeCell ref="F409:H409"/>
    <mergeCell ref="F410:H410"/>
    <mergeCell ref="F411:H411"/>
    <mergeCell ref="F412:H412"/>
    <mergeCell ref="F413:H413"/>
    <mergeCell ref="F414:H414"/>
    <mergeCell ref="F415:H415"/>
    <mergeCell ref="F416:H416"/>
    <mergeCell ref="F417:H417"/>
    <mergeCell ref="F418:H418"/>
    <mergeCell ref="F419:H419"/>
    <mergeCell ref="F420:H420"/>
    <mergeCell ref="F421:H421"/>
    <mergeCell ref="F422:H422"/>
    <mergeCell ref="F423:H423"/>
    <mergeCell ref="F424:H424"/>
    <mergeCell ref="F425:H425"/>
    <mergeCell ref="F426:H426"/>
    <mergeCell ref="F427:H427"/>
    <mergeCell ref="F428:H428"/>
    <mergeCell ref="F429:H429"/>
    <mergeCell ref="F430:H430"/>
    <mergeCell ref="F431:H431"/>
    <mergeCell ref="F432:H432"/>
    <mergeCell ref="F433:H433"/>
    <mergeCell ref="F434:H434"/>
    <mergeCell ref="F435:H435"/>
    <mergeCell ref="F436:H436"/>
    <mergeCell ref="F437:H437"/>
    <mergeCell ref="F438:H438"/>
    <mergeCell ref="F439:H439"/>
    <mergeCell ref="F440:H440"/>
    <mergeCell ref="F441:H441"/>
    <mergeCell ref="F442:H442"/>
    <mergeCell ref="F443:H443"/>
    <mergeCell ref="F444:H444"/>
    <mergeCell ref="F445:H445"/>
    <mergeCell ref="F446:H446"/>
    <mergeCell ref="F447:H447"/>
    <mergeCell ref="F448:H448"/>
    <mergeCell ref="F449:H449"/>
    <mergeCell ref="F450:H450"/>
    <mergeCell ref="F451:H451"/>
    <mergeCell ref="F452:H452"/>
    <mergeCell ref="F453:H453"/>
    <mergeCell ref="F454:H454"/>
    <mergeCell ref="F455:H455"/>
    <mergeCell ref="F456:H456"/>
    <mergeCell ref="F457:H457"/>
    <mergeCell ref="F458:H458"/>
    <mergeCell ref="F459:H459"/>
    <mergeCell ref="F460:H460"/>
    <mergeCell ref="F461:H461"/>
    <mergeCell ref="F462:H462"/>
    <mergeCell ref="F463:H463"/>
    <mergeCell ref="F464:H464"/>
    <mergeCell ref="F465:H465"/>
    <mergeCell ref="F466:H466"/>
    <mergeCell ref="F467:H467"/>
    <mergeCell ref="F468:H468"/>
    <mergeCell ref="F469:H469"/>
    <mergeCell ref="F470:H470"/>
    <mergeCell ref="F471:H471"/>
    <mergeCell ref="F472:H472"/>
    <mergeCell ref="F473:H473"/>
    <mergeCell ref="F474:H474"/>
    <mergeCell ref="F475:H475"/>
    <mergeCell ref="F476:H476"/>
    <mergeCell ref="F477:H477"/>
    <mergeCell ref="F478:H478"/>
    <mergeCell ref="F479:H479"/>
    <mergeCell ref="F480:H480"/>
    <mergeCell ref="F481:H481"/>
    <mergeCell ref="F482:H482"/>
    <mergeCell ref="F483:H483"/>
    <mergeCell ref="F484:H484"/>
    <mergeCell ref="F485:H485"/>
    <mergeCell ref="F486:H486"/>
    <mergeCell ref="F487:H487"/>
    <mergeCell ref="F488:H488"/>
    <mergeCell ref="F489:H489"/>
    <mergeCell ref="F490:H490"/>
    <mergeCell ref="F491:H491"/>
    <mergeCell ref="F492:H492"/>
    <mergeCell ref="F493:H493"/>
    <mergeCell ref="F494:H494"/>
    <mergeCell ref="F495:H495"/>
    <mergeCell ref="F496:H496"/>
    <mergeCell ref="F497:H497"/>
    <mergeCell ref="F498:H498"/>
    <mergeCell ref="F499:H499"/>
    <mergeCell ref="F500:H500"/>
    <mergeCell ref="F501:H501"/>
    <mergeCell ref="F502:H502"/>
    <mergeCell ref="F503:H503"/>
    <mergeCell ref="F504:H504"/>
    <mergeCell ref="F505:H50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I119:J119"/>
    <mergeCell ref="I120:J120"/>
    <mergeCell ref="I121:J121"/>
    <mergeCell ref="I122:J122"/>
    <mergeCell ref="I123:J12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3:J133"/>
    <mergeCell ref="I134:J134"/>
    <mergeCell ref="I135:J135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5:J155"/>
    <mergeCell ref="I156:J156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0:J220"/>
    <mergeCell ref="I221:J221"/>
    <mergeCell ref="I222:J222"/>
    <mergeCell ref="I223:J223"/>
    <mergeCell ref="I224:J224"/>
    <mergeCell ref="I225:J225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5:J255"/>
    <mergeCell ref="I256:J256"/>
    <mergeCell ref="I257:J257"/>
    <mergeCell ref="I258:J258"/>
    <mergeCell ref="I259:J259"/>
    <mergeCell ref="I260:J260"/>
    <mergeCell ref="I261:J261"/>
    <mergeCell ref="I262:J262"/>
    <mergeCell ref="I263:J263"/>
    <mergeCell ref="I264:J264"/>
    <mergeCell ref="I265:J265"/>
    <mergeCell ref="I266:J266"/>
    <mergeCell ref="I267:J267"/>
    <mergeCell ref="I268:J268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I282:J282"/>
    <mergeCell ref="I283:J283"/>
    <mergeCell ref="I284:J284"/>
    <mergeCell ref="I285:J285"/>
    <mergeCell ref="I286:J286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296:J296"/>
    <mergeCell ref="I297:J297"/>
    <mergeCell ref="I298:J298"/>
    <mergeCell ref="I299:J299"/>
    <mergeCell ref="I300:J300"/>
    <mergeCell ref="I301:J301"/>
    <mergeCell ref="I302:J302"/>
    <mergeCell ref="I303:J303"/>
    <mergeCell ref="I304:J304"/>
    <mergeCell ref="I305:J305"/>
    <mergeCell ref="I306:J306"/>
    <mergeCell ref="I307:J307"/>
    <mergeCell ref="I308:J308"/>
    <mergeCell ref="I309:J309"/>
    <mergeCell ref="I310:J310"/>
    <mergeCell ref="I311:J311"/>
    <mergeCell ref="I312:J312"/>
    <mergeCell ref="I313:J313"/>
    <mergeCell ref="I314:J314"/>
    <mergeCell ref="I315:J315"/>
    <mergeCell ref="I316:J316"/>
    <mergeCell ref="I317:J317"/>
    <mergeCell ref="I318:J318"/>
    <mergeCell ref="I319:J319"/>
    <mergeCell ref="I320:J320"/>
    <mergeCell ref="I321:J321"/>
    <mergeCell ref="I322:J322"/>
    <mergeCell ref="I323:J323"/>
    <mergeCell ref="I324:J324"/>
    <mergeCell ref="I325:J325"/>
    <mergeCell ref="I326:J326"/>
    <mergeCell ref="I327:J327"/>
    <mergeCell ref="I328:J328"/>
    <mergeCell ref="I329:J329"/>
    <mergeCell ref="I330:J330"/>
    <mergeCell ref="I331:J331"/>
    <mergeCell ref="I332:J332"/>
    <mergeCell ref="I333:J333"/>
    <mergeCell ref="I334:J334"/>
    <mergeCell ref="I335:J335"/>
    <mergeCell ref="I336:J336"/>
    <mergeCell ref="I337:J337"/>
    <mergeCell ref="I338:J338"/>
    <mergeCell ref="I339:J339"/>
    <mergeCell ref="I340:J340"/>
    <mergeCell ref="I341:J341"/>
    <mergeCell ref="I342:J342"/>
    <mergeCell ref="I343:J343"/>
    <mergeCell ref="I344:J344"/>
    <mergeCell ref="I345:J345"/>
    <mergeCell ref="I346:J346"/>
    <mergeCell ref="I347:J347"/>
    <mergeCell ref="I348:J348"/>
    <mergeCell ref="I349:J349"/>
    <mergeCell ref="I350:J350"/>
    <mergeCell ref="I351:J351"/>
    <mergeCell ref="I352:J352"/>
    <mergeCell ref="I353:J353"/>
    <mergeCell ref="I354:J354"/>
    <mergeCell ref="I355:J355"/>
    <mergeCell ref="I356:J356"/>
    <mergeCell ref="I357:J357"/>
    <mergeCell ref="I358:J358"/>
    <mergeCell ref="I359:J359"/>
    <mergeCell ref="I360:J360"/>
    <mergeCell ref="I361:J361"/>
    <mergeCell ref="I362:J362"/>
    <mergeCell ref="I363:J363"/>
    <mergeCell ref="I364:J364"/>
    <mergeCell ref="I365:J365"/>
    <mergeCell ref="I366:J366"/>
    <mergeCell ref="I367:J367"/>
    <mergeCell ref="I368:J368"/>
    <mergeCell ref="I369:J369"/>
    <mergeCell ref="I370:J370"/>
    <mergeCell ref="I371:J371"/>
    <mergeCell ref="I372:J372"/>
    <mergeCell ref="I373:J373"/>
    <mergeCell ref="I374:J374"/>
    <mergeCell ref="I375:J375"/>
    <mergeCell ref="I376:J376"/>
    <mergeCell ref="I377:J377"/>
    <mergeCell ref="I378:J378"/>
    <mergeCell ref="I379:J379"/>
    <mergeCell ref="I380:J380"/>
    <mergeCell ref="I381:J381"/>
    <mergeCell ref="I382:J382"/>
    <mergeCell ref="I383:J383"/>
    <mergeCell ref="I384:J384"/>
    <mergeCell ref="I385:J385"/>
    <mergeCell ref="I386:J386"/>
    <mergeCell ref="I387:J387"/>
    <mergeCell ref="I388:J388"/>
    <mergeCell ref="I389:J389"/>
    <mergeCell ref="I390:J390"/>
    <mergeCell ref="I391:J391"/>
    <mergeCell ref="I392:J392"/>
    <mergeCell ref="I393:J393"/>
    <mergeCell ref="I394:J394"/>
    <mergeCell ref="I395:J395"/>
    <mergeCell ref="I396:J396"/>
    <mergeCell ref="I397:J397"/>
    <mergeCell ref="I398:J398"/>
    <mergeCell ref="I399:J399"/>
    <mergeCell ref="I400:J400"/>
    <mergeCell ref="I401:J401"/>
    <mergeCell ref="I402:J402"/>
    <mergeCell ref="I403:J403"/>
    <mergeCell ref="I404:J404"/>
    <mergeCell ref="I405:J405"/>
    <mergeCell ref="I406:J406"/>
    <mergeCell ref="I407:J407"/>
    <mergeCell ref="I408:J408"/>
    <mergeCell ref="I409:J409"/>
    <mergeCell ref="I410:J410"/>
    <mergeCell ref="I411:J411"/>
    <mergeCell ref="I412:J412"/>
    <mergeCell ref="I413:J413"/>
    <mergeCell ref="I414:J414"/>
    <mergeCell ref="I415:J415"/>
    <mergeCell ref="I416:J416"/>
    <mergeCell ref="I417:J417"/>
    <mergeCell ref="I418:J418"/>
    <mergeCell ref="I419:J419"/>
    <mergeCell ref="I420:J420"/>
    <mergeCell ref="I421:J421"/>
    <mergeCell ref="I422:J422"/>
    <mergeCell ref="I423:J423"/>
    <mergeCell ref="I424:J424"/>
    <mergeCell ref="I425:J425"/>
    <mergeCell ref="I426:J426"/>
    <mergeCell ref="I427:J427"/>
    <mergeCell ref="I428:J428"/>
    <mergeCell ref="I429:J429"/>
    <mergeCell ref="I430:J430"/>
    <mergeCell ref="I431:J431"/>
    <mergeCell ref="I432:J432"/>
    <mergeCell ref="I433:J433"/>
    <mergeCell ref="I434:J434"/>
    <mergeCell ref="I435:J435"/>
    <mergeCell ref="I436:J436"/>
    <mergeCell ref="I437:J437"/>
    <mergeCell ref="I438:J438"/>
    <mergeCell ref="I439:J439"/>
    <mergeCell ref="I440:J440"/>
    <mergeCell ref="I441:J441"/>
    <mergeCell ref="I442:J442"/>
    <mergeCell ref="I443:J443"/>
    <mergeCell ref="I444:J444"/>
    <mergeCell ref="I445:J445"/>
    <mergeCell ref="I446:J446"/>
    <mergeCell ref="I447:J447"/>
    <mergeCell ref="I448:J448"/>
    <mergeCell ref="I449:J449"/>
    <mergeCell ref="I450:J450"/>
    <mergeCell ref="I451:J451"/>
    <mergeCell ref="I452:J452"/>
    <mergeCell ref="I453:J453"/>
    <mergeCell ref="I454:J454"/>
    <mergeCell ref="I455:J455"/>
    <mergeCell ref="I456:J456"/>
    <mergeCell ref="I457:J457"/>
    <mergeCell ref="I458:J458"/>
    <mergeCell ref="I459:J459"/>
    <mergeCell ref="I460:J460"/>
    <mergeCell ref="I461:J461"/>
    <mergeCell ref="I462:J462"/>
    <mergeCell ref="I463:J463"/>
    <mergeCell ref="I464:J464"/>
    <mergeCell ref="I465:J465"/>
    <mergeCell ref="I466:J466"/>
    <mergeCell ref="I467:J467"/>
    <mergeCell ref="I468:J468"/>
    <mergeCell ref="I469:J469"/>
    <mergeCell ref="I470:J470"/>
    <mergeCell ref="I471:J471"/>
    <mergeCell ref="I472:J472"/>
    <mergeCell ref="I473:J473"/>
    <mergeCell ref="I474:J474"/>
    <mergeCell ref="I475:J475"/>
    <mergeCell ref="I476:J476"/>
    <mergeCell ref="I477:J477"/>
    <mergeCell ref="I478:J478"/>
    <mergeCell ref="I479:J479"/>
    <mergeCell ref="I480:J480"/>
    <mergeCell ref="I481:J481"/>
    <mergeCell ref="I482:J482"/>
    <mergeCell ref="I483:J483"/>
    <mergeCell ref="I484:J484"/>
    <mergeCell ref="I485:J485"/>
    <mergeCell ref="I486:J486"/>
    <mergeCell ref="I487:J487"/>
    <mergeCell ref="I488:J488"/>
    <mergeCell ref="I489:J489"/>
    <mergeCell ref="I490:J490"/>
    <mergeCell ref="I491:J491"/>
    <mergeCell ref="I492:J492"/>
    <mergeCell ref="I493:J493"/>
    <mergeCell ref="I494:J494"/>
    <mergeCell ref="I495:J495"/>
    <mergeCell ref="I496:J496"/>
    <mergeCell ref="I497:J497"/>
    <mergeCell ref="I498:J498"/>
    <mergeCell ref="I499:J499"/>
    <mergeCell ref="I500:J500"/>
    <mergeCell ref="I501:J501"/>
    <mergeCell ref="I502:J502"/>
    <mergeCell ref="I503:J503"/>
    <mergeCell ref="I504:J504"/>
    <mergeCell ref="I505:J505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26:L26"/>
    <mergeCell ref="K27:L27"/>
    <mergeCell ref="K28:L28"/>
    <mergeCell ref="K29:L29"/>
    <mergeCell ref="K30:L30"/>
    <mergeCell ref="K31:L31"/>
    <mergeCell ref="K32:L32"/>
    <mergeCell ref="K33:L33"/>
    <mergeCell ref="K34:L34"/>
    <mergeCell ref="K35:L35"/>
    <mergeCell ref="K36:L36"/>
    <mergeCell ref="K37:L37"/>
    <mergeCell ref="K38:L38"/>
    <mergeCell ref="K39:L39"/>
    <mergeCell ref="K40:L40"/>
    <mergeCell ref="K41:L41"/>
    <mergeCell ref="K42:L42"/>
    <mergeCell ref="K43:L43"/>
    <mergeCell ref="K44:L44"/>
    <mergeCell ref="K45:L45"/>
    <mergeCell ref="K46:L46"/>
    <mergeCell ref="K47:L47"/>
    <mergeCell ref="K48:L48"/>
    <mergeCell ref="K49:L49"/>
    <mergeCell ref="K50:L50"/>
    <mergeCell ref="K51:L51"/>
    <mergeCell ref="K52:L52"/>
    <mergeCell ref="K53:L53"/>
    <mergeCell ref="K54:L54"/>
    <mergeCell ref="K55:L55"/>
    <mergeCell ref="K56:L56"/>
    <mergeCell ref="K57:L57"/>
    <mergeCell ref="K58:L58"/>
    <mergeCell ref="K59:L59"/>
    <mergeCell ref="K60:L60"/>
    <mergeCell ref="K61:L61"/>
    <mergeCell ref="K62:L62"/>
    <mergeCell ref="K63:L63"/>
    <mergeCell ref="K64:L64"/>
    <mergeCell ref="K65:L65"/>
    <mergeCell ref="K66:L66"/>
    <mergeCell ref="K67:L67"/>
    <mergeCell ref="K68:L68"/>
    <mergeCell ref="K69:L69"/>
    <mergeCell ref="K70:L70"/>
    <mergeCell ref="K71:L71"/>
    <mergeCell ref="K72:L72"/>
    <mergeCell ref="K73:L73"/>
    <mergeCell ref="K74:L74"/>
    <mergeCell ref="K75:L75"/>
    <mergeCell ref="K76:L76"/>
    <mergeCell ref="K77:L77"/>
    <mergeCell ref="K78:L78"/>
    <mergeCell ref="K79:L79"/>
    <mergeCell ref="K80:L80"/>
    <mergeCell ref="K81:L81"/>
    <mergeCell ref="K82:L82"/>
    <mergeCell ref="K83:L83"/>
    <mergeCell ref="K84:L84"/>
    <mergeCell ref="K85:L85"/>
    <mergeCell ref="K86:L86"/>
    <mergeCell ref="K87:L87"/>
    <mergeCell ref="K88:L88"/>
    <mergeCell ref="K89:L89"/>
    <mergeCell ref="K90:L90"/>
    <mergeCell ref="K91:L91"/>
    <mergeCell ref="K92:L92"/>
    <mergeCell ref="K93:L93"/>
    <mergeCell ref="K94:L94"/>
    <mergeCell ref="K95:L95"/>
    <mergeCell ref="K96:L96"/>
    <mergeCell ref="K97:L97"/>
    <mergeCell ref="K98:L98"/>
    <mergeCell ref="K99:L99"/>
    <mergeCell ref="K100:L100"/>
    <mergeCell ref="K101:L101"/>
    <mergeCell ref="K102:L102"/>
    <mergeCell ref="K103:L103"/>
    <mergeCell ref="K104:L104"/>
    <mergeCell ref="K105:L105"/>
    <mergeCell ref="K106:L106"/>
    <mergeCell ref="K107:L107"/>
    <mergeCell ref="K108:L108"/>
    <mergeCell ref="K109:L109"/>
    <mergeCell ref="K110:L110"/>
    <mergeCell ref="K111:L111"/>
    <mergeCell ref="K112:L112"/>
    <mergeCell ref="K113:L113"/>
    <mergeCell ref="K114:L114"/>
    <mergeCell ref="K115:L115"/>
    <mergeCell ref="K116:L116"/>
    <mergeCell ref="K117:L117"/>
    <mergeCell ref="K118:L118"/>
    <mergeCell ref="K119:L119"/>
    <mergeCell ref="K120:L120"/>
    <mergeCell ref="K121:L121"/>
    <mergeCell ref="K122:L122"/>
    <mergeCell ref="K123:L123"/>
    <mergeCell ref="K124:L124"/>
    <mergeCell ref="K125:L125"/>
    <mergeCell ref="K126:L126"/>
    <mergeCell ref="K127:L127"/>
    <mergeCell ref="K128:L128"/>
    <mergeCell ref="K129:L129"/>
    <mergeCell ref="K130:L130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42:L142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54:L154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66:L166"/>
    <mergeCell ref="K167:L167"/>
    <mergeCell ref="K168:L168"/>
    <mergeCell ref="K169:L169"/>
    <mergeCell ref="K170:L170"/>
    <mergeCell ref="K171:L171"/>
    <mergeCell ref="K172:L172"/>
    <mergeCell ref="K173:L173"/>
    <mergeCell ref="K174:L174"/>
    <mergeCell ref="K175:L175"/>
    <mergeCell ref="K176:L176"/>
    <mergeCell ref="K177:L177"/>
    <mergeCell ref="K178:L178"/>
    <mergeCell ref="K179:L179"/>
    <mergeCell ref="K180:L180"/>
    <mergeCell ref="K181:L181"/>
    <mergeCell ref="K182:L182"/>
    <mergeCell ref="K183:L183"/>
    <mergeCell ref="K184:L184"/>
    <mergeCell ref="K185:L185"/>
    <mergeCell ref="K186:L186"/>
    <mergeCell ref="K187:L187"/>
    <mergeCell ref="K188:L188"/>
    <mergeCell ref="K189:L189"/>
    <mergeCell ref="K190:L190"/>
    <mergeCell ref="K191:L191"/>
    <mergeCell ref="K192:L192"/>
    <mergeCell ref="K193:L193"/>
    <mergeCell ref="K194:L194"/>
    <mergeCell ref="K195:L195"/>
    <mergeCell ref="K196:L196"/>
    <mergeCell ref="K197:L197"/>
    <mergeCell ref="K198:L198"/>
    <mergeCell ref="K199:L199"/>
    <mergeCell ref="K200:L200"/>
    <mergeCell ref="K201:L201"/>
    <mergeCell ref="K202:L202"/>
    <mergeCell ref="K203:L203"/>
    <mergeCell ref="K204:L204"/>
    <mergeCell ref="K205:L205"/>
    <mergeCell ref="K206:L206"/>
    <mergeCell ref="K207:L207"/>
    <mergeCell ref="K208:L208"/>
    <mergeCell ref="K209:L209"/>
    <mergeCell ref="K210:L210"/>
    <mergeCell ref="K211:L211"/>
    <mergeCell ref="K212:L212"/>
    <mergeCell ref="K213:L213"/>
    <mergeCell ref="K214:L214"/>
    <mergeCell ref="K215:L215"/>
    <mergeCell ref="K216:L216"/>
    <mergeCell ref="K217:L217"/>
    <mergeCell ref="K218:L218"/>
    <mergeCell ref="K219:L219"/>
    <mergeCell ref="K220:L220"/>
    <mergeCell ref="K221:L221"/>
    <mergeCell ref="K222:L222"/>
    <mergeCell ref="K223:L223"/>
    <mergeCell ref="K224:L224"/>
    <mergeCell ref="K225:L225"/>
    <mergeCell ref="K226:L226"/>
    <mergeCell ref="K227:L227"/>
    <mergeCell ref="K228:L228"/>
    <mergeCell ref="K229:L229"/>
    <mergeCell ref="K230:L230"/>
    <mergeCell ref="K231:L231"/>
    <mergeCell ref="K232:L232"/>
    <mergeCell ref="K233:L233"/>
    <mergeCell ref="K234:L234"/>
    <mergeCell ref="K235:L235"/>
    <mergeCell ref="K236:L236"/>
    <mergeCell ref="K237:L237"/>
    <mergeCell ref="K238:L238"/>
    <mergeCell ref="K239:L239"/>
    <mergeCell ref="K240:L240"/>
    <mergeCell ref="K241:L241"/>
    <mergeCell ref="K242:L242"/>
    <mergeCell ref="K243:L243"/>
    <mergeCell ref="K244:L244"/>
    <mergeCell ref="K245:L245"/>
    <mergeCell ref="K246:L246"/>
    <mergeCell ref="K247:L247"/>
    <mergeCell ref="K248:L248"/>
    <mergeCell ref="K249:L249"/>
    <mergeCell ref="K250:L250"/>
    <mergeCell ref="K251:L251"/>
    <mergeCell ref="K252:L252"/>
    <mergeCell ref="K253:L253"/>
    <mergeCell ref="K254:L254"/>
    <mergeCell ref="K255:L255"/>
    <mergeCell ref="K256:L256"/>
    <mergeCell ref="K257:L257"/>
    <mergeCell ref="K258:L258"/>
    <mergeCell ref="K259:L259"/>
    <mergeCell ref="K260:L260"/>
    <mergeCell ref="K261:L261"/>
    <mergeCell ref="K262:L262"/>
    <mergeCell ref="K263:L263"/>
    <mergeCell ref="K264:L264"/>
    <mergeCell ref="K265:L265"/>
    <mergeCell ref="K266:L266"/>
    <mergeCell ref="K267:L267"/>
    <mergeCell ref="K268:L268"/>
    <mergeCell ref="K269:L269"/>
    <mergeCell ref="K270:L270"/>
    <mergeCell ref="K271:L271"/>
    <mergeCell ref="K272:L272"/>
    <mergeCell ref="K273:L273"/>
    <mergeCell ref="K274:L274"/>
    <mergeCell ref="K275:L275"/>
    <mergeCell ref="K276:L276"/>
    <mergeCell ref="K277:L277"/>
    <mergeCell ref="K278:L278"/>
    <mergeCell ref="K279:L279"/>
    <mergeCell ref="K280:L280"/>
    <mergeCell ref="K281:L281"/>
    <mergeCell ref="K282:L282"/>
    <mergeCell ref="K283:L283"/>
    <mergeCell ref="K284:L284"/>
    <mergeCell ref="K285:L285"/>
    <mergeCell ref="K286:L286"/>
    <mergeCell ref="K287:L287"/>
    <mergeCell ref="K288:L288"/>
    <mergeCell ref="K289:L289"/>
    <mergeCell ref="K290:L290"/>
    <mergeCell ref="K291:L291"/>
    <mergeCell ref="K292:L292"/>
    <mergeCell ref="K293:L293"/>
    <mergeCell ref="K294:L294"/>
    <mergeCell ref="K295:L295"/>
    <mergeCell ref="K296:L296"/>
    <mergeCell ref="K297:L297"/>
    <mergeCell ref="K298:L298"/>
    <mergeCell ref="K299:L299"/>
    <mergeCell ref="K300:L300"/>
    <mergeCell ref="K301:L301"/>
    <mergeCell ref="K302:L302"/>
    <mergeCell ref="K303:L303"/>
    <mergeCell ref="K304:L304"/>
    <mergeCell ref="K305:L305"/>
    <mergeCell ref="K306:L306"/>
    <mergeCell ref="K307:L307"/>
    <mergeCell ref="K308:L308"/>
    <mergeCell ref="K309:L309"/>
    <mergeCell ref="K310:L310"/>
    <mergeCell ref="K311:L311"/>
    <mergeCell ref="K312:L312"/>
    <mergeCell ref="K313:L313"/>
    <mergeCell ref="K314:L314"/>
    <mergeCell ref="K315:L315"/>
    <mergeCell ref="K316:L316"/>
    <mergeCell ref="K317:L317"/>
    <mergeCell ref="K318:L318"/>
    <mergeCell ref="K319:L319"/>
    <mergeCell ref="K320:L320"/>
    <mergeCell ref="K321:L321"/>
    <mergeCell ref="K322:L322"/>
    <mergeCell ref="K323:L323"/>
    <mergeCell ref="K324:L324"/>
    <mergeCell ref="K325:L325"/>
    <mergeCell ref="K326:L326"/>
    <mergeCell ref="K327:L327"/>
    <mergeCell ref="K328:L328"/>
    <mergeCell ref="K329:L329"/>
    <mergeCell ref="K330:L330"/>
    <mergeCell ref="K331:L331"/>
    <mergeCell ref="K332:L332"/>
    <mergeCell ref="K333:L333"/>
    <mergeCell ref="K334:L334"/>
    <mergeCell ref="K335:L335"/>
    <mergeCell ref="K336:L336"/>
    <mergeCell ref="K337:L337"/>
    <mergeCell ref="K338:L338"/>
    <mergeCell ref="K339:L339"/>
    <mergeCell ref="K340:L340"/>
    <mergeCell ref="K341:L341"/>
    <mergeCell ref="K342:L342"/>
    <mergeCell ref="K343:L343"/>
    <mergeCell ref="K344:L344"/>
    <mergeCell ref="K345:L345"/>
    <mergeCell ref="K346:L346"/>
    <mergeCell ref="K347:L347"/>
    <mergeCell ref="K348:L348"/>
    <mergeCell ref="K349:L349"/>
    <mergeCell ref="K350:L350"/>
    <mergeCell ref="K351:L351"/>
    <mergeCell ref="K352:L352"/>
    <mergeCell ref="K353:L353"/>
    <mergeCell ref="K354:L354"/>
    <mergeCell ref="K355:L355"/>
    <mergeCell ref="K356:L356"/>
    <mergeCell ref="K357:L357"/>
    <mergeCell ref="K358:L358"/>
    <mergeCell ref="K359:L359"/>
    <mergeCell ref="K360:L360"/>
    <mergeCell ref="K361:L361"/>
    <mergeCell ref="K362:L362"/>
    <mergeCell ref="K363:L363"/>
    <mergeCell ref="K364:L364"/>
    <mergeCell ref="K365:L365"/>
    <mergeCell ref="K366:L366"/>
    <mergeCell ref="K367:L367"/>
    <mergeCell ref="K368:L368"/>
    <mergeCell ref="K369:L369"/>
    <mergeCell ref="K370:L370"/>
    <mergeCell ref="K371:L371"/>
    <mergeCell ref="K372:L372"/>
    <mergeCell ref="K373:L373"/>
    <mergeCell ref="K374:L374"/>
    <mergeCell ref="K375:L375"/>
    <mergeCell ref="K376:L376"/>
    <mergeCell ref="K377:L377"/>
    <mergeCell ref="K378:L378"/>
    <mergeCell ref="K379:L379"/>
    <mergeCell ref="K380:L380"/>
    <mergeCell ref="K381:L381"/>
    <mergeCell ref="K382:L382"/>
    <mergeCell ref="K383:L383"/>
    <mergeCell ref="K384:L384"/>
    <mergeCell ref="K385:L385"/>
    <mergeCell ref="K386:L386"/>
    <mergeCell ref="K387:L387"/>
    <mergeCell ref="K388:L388"/>
    <mergeCell ref="K389:L389"/>
    <mergeCell ref="K390:L390"/>
    <mergeCell ref="K391:L391"/>
    <mergeCell ref="K392:L392"/>
    <mergeCell ref="K393:L393"/>
    <mergeCell ref="K394:L394"/>
    <mergeCell ref="K395:L395"/>
    <mergeCell ref="K396:L396"/>
    <mergeCell ref="K397:L397"/>
    <mergeCell ref="K398:L398"/>
    <mergeCell ref="K399:L399"/>
    <mergeCell ref="K400:L400"/>
    <mergeCell ref="K401:L401"/>
    <mergeCell ref="K402:L402"/>
    <mergeCell ref="K403:L403"/>
    <mergeCell ref="K404:L404"/>
    <mergeCell ref="K405:L405"/>
    <mergeCell ref="K406:L406"/>
    <mergeCell ref="K407:L407"/>
    <mergeCell ref="K408:L408"/>
    <mergeCell ref="K409:L409"/>
    <mergeCell ref="K410:L410"/>
    <mergeCell ref="K411:L411"/>
    <mergeCell ref="K412:L412"/>
    <mergeCell ref="K413:L413"/>
    <mergeCell ref="K414:L414"/>
    <mergeCell ref="K415:L415"/>
    <mergeCell ref="K416:L416"/>
    <mergeCell ref="K417:L417"/>
    <mergeCell ref="K418:L418"/>
    <mergeCell ref="K419:L419"/>
    <mergeCell ref="K420:L420"/>
    <mergeCell ref="K421:L421"/>
    <mergeCell ref="K422:L422"/>
    <mergeCell ref="K423:L423"/>
    <mergeCell ref="K424:L424"/>
    <mergeCell ref="K425:L425"/>
    <mergeCell ref="K426:L426"/>
    <mergeCell ref="K427:L427"/>
    <mergeCell ref="K428:L428"/>
    <mergeCell ref="K429:L429"/>
    <mergeCell ref="K430:L430"/>
    <mergeCell ref="K431:L431"/>
    <mergeCell ref="K432:L432"/>
    <mergeCell ref="K433:L433"/>
    <mergeCell ref="K434:L434"/>
    <mergeCell ref="K435:L435"/>
    <mergeCell ref="K436:L436"/>
    <mergeCell ref="K437:L437"/>
    <mergeCell ref="K438:L438"/>
    <mergeCell ref="K439:L439"/>
    <mergeCell ref="K440:L440"/>
    <mergeCell ref="K441:L441"/>
    <mergeCell ref="K442:L442"/>
    <mergeCell ref="K443:L443"/>
    <mergeCell ref="K444:L444"/>
    <mergeCell ref="K445:L445"/>
    <mergeCell ref="K446:L446"/>
    <mergeCell ref="K447:L447"/>
    <mergeCell ref="K448:L448"/>
    <mergeCell ref="K449:L449"/>
    <mergeCell ref="K450:L450"/>
    <mergeCell ref="K451:L451"/>
    <mergeCell ref="K452:L452"/>
    <mergeCell ref="K453:L453"/>
    <mergeCell ref="K454:L454"/>
    <mergeCell ref="K485:L485"/>
    <mergeCell ref="K486:L486"/>
    <mergeCell ref="K495:L495"/>
    <mergeCell ref="K496:L496"/>
    <mergeCell ref="K455:L455"/>
    <mergeCell ref="K456:L456"/>
    <mergeCell ref="K457:L457"/>
    <mergeCell ref="K458:L458"/>
    <mergeCell ref="K459:L459"/>
    <mergeCell ref="K460:L460"/>
    <mergeCell ref="K461:L461"/>
    <mergeCell ref="K462:L462"/>
    <mergeCell ref="K463:L463"/>
    <mergeCell ref="K464:L464"/>
    <mergeCell ref="K465:L465"/>
    <mergeCell ref="K466:L466"/>
    <mergeCell ref="K467:L467"/>
    <mergeCell ref="K468:L468"/>
    <mergeCell ref="K469:L469"/>
    <mergeCell ref="K470:L470"/>
    <mergeCell ref="K471:L471"/>
    <mergeCell ref="E4:H5"/>
    <mergeCell ref="K497:L497"/>
    <mergeCell ref="K498:L498"/>
    <mergeCell ref="K487:L487"/>
    <mergeCell ref="K488:L488"/>
    <mergeCell ref="K489:L489"/>
    <mergeCell ref="K490:L490"/>
    <mergeCell ref="K491:L491"/>
    <mergeCell ref="K492:L492"/>
    <mergeCell ref="K505:L505"/>
    <mergeCell ref="D3:H3"/>
    <mergeCell ref="K499:L499"/>
    <mergeCell ref="K500:L500"/>
    <mergeCell ref="K501:L501"/>
    <mergeCell ref="K502:L502"/>
    <mergeCell ref="K503:L503"/>
    <mergeCell ref="K504:L504"/>
    <mergeCell ref="K493:L493"/>
    <mergeCell ref="K494:L494"/>
    <mergeCell ref="K472:L472"/>
    <mergeCell ref="K473:L473"/>
    <mergeCell ref="K474:L474"/>
    <mergeCell ref="K475:L475"/>
    <mergeCell ref="K476:L476"/>
    <mergeCell ref="K477:L477"/>
    <mergeCell ref="K478:L478"/>
    <mergeCell ref="K479:L479"/>
    <mergeCell ref="K480:L480"/>
    <mergeCell ref="K481:L481"/>
    <mergeCell ref="K482:L482"/>
    <mergeCell ref="K483:L483"/>
    <mergeCell ref="K484:L484"/>
  </mergeCells>
  <phoneticPr fontId="2" type="noConversion"/>
  <dataValidations count="6">
    <dataValidation type="list" allowBlank="1" showInputMessage="1" showErrorMessage="1" sqref="L507" xr:uid="{00000000-0002-0000-0200-000000000000}">
      <formula1>OFFSET(操作员,,,COUNTA(操作员))</formula1>
    </dataValidation>
    <dataValidation type="date" operator="greaterThanOrEqual" allowBlank="1" showInputMessage="1" showErrorMessage="1" sqref="F2:H2" xr:uid="{00000000-0002-0000-0200-000001000000}">
      <formula1>7306</formula1>
    </dataValidation>
    <dataValidation type="list" allowBlank="1" showInputMessage="1" showErrorMessage="1" sqref="K2" xr:uid="{00000000-0002-0000-0200-000002000000}">
      <formula1>OFFSET(凭证字,,,COUNTA(凭证字))</formula1>
    </dataValidation>
    <dataValidation type="decimal" operator="notEqual" allowBlank="1" showInputMessage="1" showErrorMessage="1" sqref="I6:I505 J6:J9 J12:J505 K6:L505" xr:uid="{00000000-0002-0000-0200-000003000000}">
      <formula1>0</formula1>
    </dataValidation>
    <dataValidation type="whole" operator="greaterThan" allowBlank="1" showInputMessage="1" showErrorMessage="1" sqref="L2" xr:uid="{00000000-0002-0000-0200-000004000000}">
      <formula1>0</formula1>
    </dataValidation>
    <dataValidation type="whole" operator="greaterThanOrEqual" allowBlank="1" showInputMessage="1" showErrorMessage="1" sqref="L3" xr:uid="{00000000-0002-0000-0200-000005000000}">
      <formula1>0</formula1>
    </dataValidation>
  </dataValidations>
  <pageMargins left="0.51181102362204722" right="0.51181102362204722" top="0.74803149606299213" bottom="0.74803149606299213" header="0.31496062992125984" footer="0.31496062992125984"/>
  <pageSetup paperSize="26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94" r:id="rId4" name="btn_back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2094" r:id="rId4" name="btn_back"/>
      </mc:Fallback>
    </mc:AlternateContent>
    <mc:AlternateContent xmlns:mc="http://schemas.openxmlformats.org/markup-compatibility/2006">
      <mc:Choice Requires="x14">
        <control shapeId="2063" r:id="rId6" name="btn_Add">
          <controlPr autoLine="0" r:id="rId7">
            <anchor moveWithCells="1">
              <from>
                <xdr:col>13</xdr:col>
                <xdr:colOff>295275</xdr:colOff>
                <xdr:row>0</xdr:row>
                <xdr:rowOff>152400</xdr:rowOff>
              </from>
              <to>
                <xdr:col>14</xdr:col>
                <xdr:colOff>247650</xdr:colOff>
                <xdr:row>1</xdr:row>
                <xdr:rowOff>66675</xdr:rowOff>
              </to>
            </anchor>
          </controlPr>
        </control>
      </mc:Choice>
      <mc:Fallback>
        <control shapeId="2063" r:id="rId6" name="btn_Add"/>
      </mc:Fallback>
    </mc:AlternateContent>
    <mc:AlternateContent xmlns:mc="http://schemas.openxmlformats.org/markup-compatibility/2006">
      <mc:Choice Requires="x14">
        <control shapeId="2062" r:id="rId8" name="btn_Clear">
          <controlPr autoLine="0" r:id="rId9">
            <anchor moveWithCells="1">
              <from>
                <xdr:col>13</xdr:col>
                <xdr:colOff>295275</xdr:colOff>
                <xdr:row>3</xdr:row>
                <xdr:rowOff>142875</xdr:rowOff>
              </from>
              <to>
                <xdr:col>14</xdr:col>
                <xdr:colOff>247650</xdr:colOff>
                <xdr:row>4</xdr:row>
                <xdr:rowOff>142875</xdr:rowOff>
              </to>
            </anchor>
          </controlPr>
        </control>
      </mc:Choice>
      <mc:Fallback>
        <control shapeId="2062" r:id="rId8" name="btn_Clear"/>
      </mc:Fallback>
    </mc:AlternateContent>
    <mc:AlternateContent xmlns:mc="http://schemas.openxmlformats.org/markup-compatibility/2006">
      <mc:Choice Requires="x14">
        <control shapeId="2052" r:id="rId10" name="cmd_Save">
          <controlPr autoLine="0" r:id="rId11">
            <anchor moveWithCells="1">
              <from>
                <xdr:col>13</xdr:col>
                <xdr:colOff>295275</xdr:colOff>
                <xdr:row>1</xdr:row>
                <xdr:rowOff>219075</xdr:rowOff>
              </from>
              <to>
                <xdr:col>14</xdr:col>
                <xdr:colOff>247650</xdr:colOff>
                <xdr:row>2</xdr:row>
                <xdr:rowOff>219075</xdr:rowOff>
              </to>
            </anchor>
          </controlPr>
        </control>
      </mc:Choice>
      <mc:Fallback>
        <control shapeId="2052" r:id="rId10" name="cmd_Save"/>
      </mc:Fallback>
    </mc:AlternateContent>
    <mc:AlternateContent xmlns:mc="http://schemas.openxmlformats.org/markup-compatibility/2006">
      <mc:Choice Requires="x14">
        <control shapeId="2095" r:id="rId12" name="cmd_print">
          <controlPr autoLine="0" r:id="rId13">
            <anchor moveWithCells="1">
              <from>
                <xdr:col>14</xdr:col>
                <xdr:colOff>628650</xdr:colOff>
                <xdr:row>0</xdr:row>
                <xdr:rowOff>152400</xdr:rowOff>
              </from>
              <to>
                <xdr:col>15</xdr:col>
                <xdr:colOff>581025</xdr:colOff>
                <xdr:row>1</xdr:row>
                <xdr:rowOff>66675</xdr:rowOff>
              </to>
            </anchor>
          </controlPr>
        </control>
      </mc:Choice>
      <mc:Fallback>
        <control shapeId="2095" r:id="rId12" name="cmd_print"/>
      </mc:Fallback>
    </mc:AlternateContent>
    <mc:AlternateContent xmlns:mc="http://schemas.openxmlformats.org/markup-compatibility/2006">
      <mc:Choice Requires="x14">
        <control shapeId="2054" r:id="rId14" name="Spinner 6">
          <controlPr defaultSize="0" autoPict="0">
            <anchor moveWithCells="1" sizeWithCells="1">
              <from>
                <xdr:col>11</xdr:col>
                <xdr:colOff>466725</xdr:colOff>
                <xdr:row>2</xdr:row>
                <xdr:rowOff>9525</xdr:rowOff>
              </from>
              <to>
                <xdr:col>12</xdr:col>
                <xdr:colOff>66675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5" name="Spinner 7">
          <controlPr defaultSize="0" autoPict="0">
            <anchor moveWithCells="1" sizeWithCells="1">
              <from>
                <xdr:col>11</xdr:col>
                <xdr:colOff>466725</xdr:colOff>
                <xdr:row>1</xdr:row>
                <xdr:rowOff>9525</xdr:rowOff>
              </from>
              <to>
                <xdr:col>12</xdr:col>
                <xdr:colOff>66675</xdr:colOff>
                <xdr:row>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2" r:id="rId16" name="Scroll Bar 24">
          <controlPr locked="0" defaultSize="0" autoPict="0" macro="[0]!VoucherRoll">
            <anchor moveWithCells="1">
              <from>
                <xdr:col>12</xdr:col>
                <xdr:colOff>0</xdr:colOff>
                <xdr:row>5</xdr:row>
                <xdr:rowOff>9525</xdr:rowOff>
              </from>
              <to>
                <xdr:col>12</xdr:col>
                <xdr:colOff>161925</xdr:colOff>
                <xdr:row>12</xdr:row>
                <xdr:rowOff>238125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/>
  <dimension ref="A1:S683"/>
  <sheetViews>
    <sheetView showGridLines="0" workbookViewId="0">
      <pane ySplit="2" topLeftCell="A3" activePane="bottomLeft" state="frozen"/>
      <selection pane="bottomLeft" activeCell="C5" sqref="C5"/>
    </sheetView>
  </sheetViews>
  <sheetFormatPr defaultRowHeight="13.5" x14ac:dyDescent="0.15"/>
  <cols>
    <col min="1" max="1" width="8.625" customWidth="1"/>
    <col min="2" max="2" width="7.75" bestFit="1" customWidth="1"/>
    <col min="3" max="3" width="5.75" customWidth="1"/>
    <col min="4" max="4" width="10.375" customWidth="1"/>
    <col min="5" max="5" width="5.5" customWidth="1"/>
    <col min="6" max="6" width="5.125" customWidth="1"/>
    <col min="7" max="7" width="5.25" customWidth="1"/>
    <col min="8" max="8" width="16" style="69" customWidth="1"/>
    <col min="9" max="9" width="10" style="69" customWidth="1"/>
    <col min="10" max="10" width="22.5" style="69" bestFit="1" customWidth="1"/>
    <col min="11" max="12" width="11.625" style="70" bestFit="1" customWidth="1"/>
    <col min="13" max="13" width="5.25" customWidth="1"/>
    <col min="14" max="14" width="5.875" customWidth="1"/>
    <col min="15" max="15" width="6.125" customWidth="1"/>
    <col min="16" max="16" width="5.625" customWidth="1"/>
    <col min="17" max="17" width="7" customWidth="1"/>
    <col min="18" max="18" width="6.5" customWidth="1"/>
  </cols>
  <sheetData>
    <row r="1" spans="1:19" ht="20.100000000000001" customHeight="1" x14ac:dyDescent="0.15">
      <c r="A1" s="45"/>
      <c r="B1" s="45"/>
      <c r="C1" s="45"/>
      <c r="D1" s="45"/>
      <c r="E1" s="45"/>
      <c r="F1" s="45"/>
      <c r="G1" s="45"/>
      <c r="H1" s="125"/>
      <c r="I1" s="125"/>
      <c r="J1" s="125"/>
      <c r="K1" s="126"/>
      <c r="L1" s="126"/>
      <c r="M1" s="45"/>
      <c r="N1" s="45"/>
      <c r="O1" s="45"/>
      <c r="P1" s="45"/>
      <c r="Q1" s="45"/>
      <c r="R1" s="45"/>
      <c r="S1" s="45"/>
    </row>
    <row r="2" spans="1:19" s="116" customFormat="1" ht="32.1" customHeight="1" x14ac:dyDescent="0.15">
      <c r="B2" s="213" t="s">
        <v>810</v>
      </c>
      <c r="C2" s="213" t="s">
        <v>798</v>
      </c>
      <c r="D2" s="213" t="s">
        <v>799</v>
      </c>
      <c r="E2" s="213" t="s">
        <v>800</v>
      </c>
      <c r="F2" s="213" t="s">
        <v>801</v>
      </c>
      <c r="G2" s="213" t="s">
        <v>802</v>
      </c>
      <c r="H2" s="214" t="s">
        <v>754</v>
      </c>
      <c r="I2" s="214" t="s">
        <v>803</v>
      </c>
      <c r="J2" s="214" t="s">
        <v>804</v>
      </c>
      <c r="K2" s="214" t="s">
        <v>755</v>
      </c>
      <c r="L2" s="214" t="s">
        <v>756</v>
      </c>
      <c r="M2" s="213" t="s">
        <v>5</v>
      </c>
      <c r="N2" s="213" t="s">
        <v>805</v>
      </c>
      <c r="O2" s="213" t="s">
        <v>806</v>
      </c>
      <c r="P2" s="213" t="s">
        <v>807</v>
      </c>
      <c r="Q2" s="213" t="s">
        <v>808</v>
      </c>
      <c r="R2" s="213" t="s">
        <v>809</v>
      </c>
    </row>
    <row r="3" spans="1:19" x14ac:dyDescent="0.15">
      <c r="D3" s="10"/>
      <c r="E3" s="10"/>
    </row>
    <row r="4" spans="1:19" x14ac:dyDescent="0.15">
      <c r="D4" s="10"/>
      <c r="E4" s="10"/>
    </row>
    <row r="5" spans="1:19" x14ac:dyDescent="0.15">
      <c r="D5" s="10"/>
      <c r="E5" s="10"/>
    </row>
    <row r="6" spans="1:19" x14ac:dyDescent="0.15">
      <c r="D6" s="10"/>
      <c r="E6" s="10"/>
    </row>
    <row r="7" spans="1:19" x14ac:dyDescent="0.15">
      <c r="D7" s="10"/>
      <c r="E7" s="10"/>
    </row>
    <row r="8" spans="1:19" x14ac:dyDescent="0.15">
      <c r="D8" s="10"/>
    </row>
    <row r="9" spans="1:19" x14ac:dyDescent="0.15">
      <c r="D9" s="10"/>
    </row>
    <row r="10" spans="1:19" x14ac:dyDescent="0.15">
      <c r="D10" s="10"/>
    </row>
    <row r="11" spans="1:19" x14ac:dyDescent="0.15">
      <c r="D11" s="10"/>
    </row>
    <row r="12" spans="1:19" x14ac:dyDescent="0.15">
      <c r="D12" s="10"/>
    </row>
    <row r="13" spans="1:19" x14ac:dyDescent="0.15">
      <c r="D13" s="10"/>
    </row>
    <row r="14" spans="1:19" x14ac:dyDescent="0.15">
      <c r="D14" s="10"/>
      <c r="E14" s="10"/>
    </row>
    <row r="15" spans="1:19" x14ac:dyDescent="0.15">
      <c r="D15" s="10"/>
      <c r="E15" s="10"/>
    </row>
    <row r="16" spans="1:19" x14ac:dyDescent="0.15">
      <c r="D16" s="10"/>
      <c r="E16" s="10"/>
    </row>
    <row r="17" spans="4:5" x14ac:dyDescent="0.15">
      <c r="D17" s="10"/>
      <c r="E17" s="10"/>
    </row>
    <row r="18" spans="4:5" x14ac:dyDescent="0.15">
      <c r="D18" s="10"/>
    </row>
    <row r="19" spans="4:5" x14ac:dyDescent="0.15">
      <c r="D19" s="10"/>
    </row>
    <row r="20" spans="4:5" x14ac:dyDescent="0.15">
      <c r="D20" s="10"/>
    </row>
    <row r="21" spans="4:5" x14ac:dyDescent="0.15">
      <c r="D21" s="10"/>
      <c r="E21" s="10"/>
    </row>
    <row r="22" spans="4:5" x14ac:dyDescent="0.15">
      <c r="D22" s="10"/>
      <c r="E22" s="10"/>
    </row>
    <row r="23" spans="4:5" x14ac:dyDescent="0.15">
      <c r="D23" s="10"/>
      <c r="E23" s="10"/>
    </row>
    <row r="24" spans="4:5" x14ac:dyDescent="0.15">
      <c r="D24" s="10"/>
      <c r="E24" s="10"/>
    </row>
    <row r="25" spans="4:5" x14ac:dyDescent="0.15">
      <c r="D25" s="10"/>
      <c r="E25" s="10"/>
    </row>
    <row r="26" spans="4:5" x14ac:dyDescent="0.15">
      <c r="D26" s="10"/>
      <c r="E26" s="10"/>
    </row>
    <row r="27" spans="4:5" x14ac:dyDescent="0.15">
      <c r="D27" s="10"/>
      <c r="E27" s="10"/>
    </row>
    <row r="28" spans="4:5" x14ac:dyDescent="0.15">
      <c r="D28" s="10"/>
    </row>
    <row r="29" spans="4:5" x14ac:dyDescent="0.15">
      <c r="D29" s="10"/>
    </row>
    <row r="30" spans="4:5" x14ac:dyDescent="0.15">
      <c r="D30" s="10"/>
    </row>
    <row r="31" spans="4:5" x14ac:dyDescent="0.15">
      <c r="D31" s="10"/>
    </row>
    <row r="32" spans="4:5" x14ac:dyDescent="0.15">
      <c r="D32" s="10"/>
    </row>
    <row r="33" spans="4:5" x14ac:dyDescent="0.15">
      <c r="D33" s="10"/>
    </row>
    <row r="34" spans="4:5" x14ac:dyDescent="0.15">
      <c r="D34" s="10"/>
      <c r="E34" s="10"/>
    </row>
    <row r="35" spans="4:5" x14ac:dyDescent="0.15">
      <c r="D35" s="10"/>
      <c r="E35" s="10"/>
    </row>
    <row r="36" spans="4:5" x14ac:dyDescent="0.15">
      <c r="D36" s="10"/>
      <c r="E36" s="10"/>
    </row>
    <row r="37" spans="4:5" x14ac:dyDescent="0.15">
      <c r="D37" s="10"/>
      <c r="E37" s="10"/>
    </row>
    <row r="38" spans="4:5" x14ac:dyDescent="0.15">
      <c r="D38" s="10"/>
    </row>
    <row r="39" spans="4:5" x14ac:dyDescent="0.15">
      <c r="D39" s="10"/>
    </row>
    <row r="40" spans="4:5" x14ac:dyDescent="0.15">
      <c r="D40" s="10"/>
    </row>
    <row r="41" spans="4:5" x14ac:dyDescent="0.15">
      <c r="D41" s="10"/>
      <c r="E41" s="10"/>
    </row>
    <row r="42" spans="4:5" x14ac:dyDescent="0.15">
      <c r="D42" s="10"/>
      <c r="E42" s="10"/>
    </row>
    <row r="43" spans="4:5" x14ac:dyDescent="0.15">
      <c r="D43" s="10"/>
      <c r="E43" s="10"/>
    </row>
    <row r="44" spans="4:5" x14ac:dyDescent="0.15">
      <c r="D44" s="10"/>
      <c r="E44" s="10"/>
    </row>
    <row r="45" spans="4:5" x14ac:dyDescent="0.15">
      <c r="D45" s="10"/>
      <c r="E45" s="10"/>
    </row>
    <row r="46" spans="4:5" x14ac:dyDescent="0.15">
      <c r="D46" s="10"/>
      <c r="E46" s="10"/>
    </row>
    <row r="47" spans="4:5" x14ac:dyDescent="0.15">
      <c r="D47" s="10"/>
      <c r="E47" s="10"/>
    </row>
    <row r="48" spans="4:5" x14ac:dyDescent="0.15">
      <c r="D48" s="10"/>
    </row>
    <row r="49" spans="4:5" x14ac:dyDescent="0.15">
      <c r="D49" s="10"/>
    </row>
    <row r="50" spans="4:5" x14ac:dyDescent="0.15">
      <c r="D50" s="10"/>
    </row>
    <row r="51" spans="4:5" x14ac:dyDescent="0.15">
      <c r="D51" s="10"/>
    </row>
    <row r="52" spans="4:5" x14ac:dyDescent="0.15">
      <c r="D52" s="10"/>
    </row>
    <row r="53" spans="4:5" x14ac:dyDescent="0.15">
      <c r="D53" s="10"/>
    </row>
    <row r="54" spans="4:5" x14ac:dyDescent="0.15">
      <c r="D54" s="10"/>
      <c r="E54" s="10"/>
    </row>
    <row r="55" spans="4:5" x14ac:dyDescent="0.15">
      <c r="D55" s="10"/>
      <c r="E55" s="10"/>
    </row>
    <row r="56" spans="4:5" x14ac:dyDescent="0.15">
      <c r="D56" s="10"/>
      <c r="E56" s="10"/>
    </row>
    <row r="57" spans="4:5" x14ac:dyDescent="0.15">
      <c r="D57" s="10"/>
      <c r="E57" s="10"/>
    </row>
    <row r="58" spans="4:5" x14ac:dyDescent="0.15">
      <c r="D58" s="10"/>
    </row>
    <row r="59" spans="4:5" x14ac:dyDescent="0.15">
      <c r="D59" s="10"/>
    </row>
    <row r="60" spans="4:5" x14ac:dyDescent="0.15">
      <c r="D60" s="10"/>
    </row>
    <row r="61" spans="4:5" x14ac:dyDescent="0.15">
      <c r="D61" s="10"/>
      <c r="E61" s="10"/>
    </row>
    <row r="62" spans="4:5" x14ac:dyDescent="0.15">
      <c r="D62" s="10"/>
      <c r="E62" s="10"/>
    </row>
    <row r="63" spans="4:5" x14ac:dyDescent="0.15">
      <c r="D63" s="10"/>
      <c r="E63" s="10"/>
    </row>
    <row r="64" spans="4:5" x14ac:dyDescent="0.15">
      <c r="D64" s="10"/>
      <c r="E64" s="10"/>
    </row>
    <row r="65" spans="4:5" x14ac:dyDescent="0.15">
      <c r="D65" s="10"/>
      <c r="E65" s="10"/>
    </row>
    <row r="66" spans="4:5" x14ac:dyDescent="0.15">
      <c r="D66" s="10"/>
      <c r="E66" s="10"/>
    </row>
    <row r="67" spans="4:5" x14ac:dyDescent="0.15">
      <c r="D67" s="10"/>
      <c r="E67" s="10"/>
    </row>
    <row r="68" spans="4:5" x14ac:dyDescent="0.15">
      <c r="D68" s="10"/>
    </row>
    <row r="69" spans="4:5" x14ac:dyDescent="0.15">
      <c r="D69" s="10"/>
    </row>
    <row r="70" spans="4:5" x14ac:dyDescent="0.15">
      <c r="D70" s="10"/>
    </row>
    <row r="71" spans="4:5" x14ac:dyDescent="0.15">
      <c r="D71" s="10"/>
    </row>
    <row r="72" spans="4:5" x14ac:dyDescent="0.15">
      <c r="D72" s="10"/>
    </row>
    <row r="73" spans="4:5" x14ac:dyDescent="0.15">
      <c r="D73" s="10"/>
    </row>
    <row r="74" spans="4:5" x14ac:dyDescent="0.15">
      <c r="D74" s="10"/>
      <c r="E74" s="10"/>
    </row>
    <row r="75" spans="4:5" x14ac:dyDescent="0.15">
      <c r="D75" s="10"/>
      <c r="E75" s="10"/>
    </row>
    <row r="76" spans="4:5" x14ac:dyDescent="0.15">
      <c r="D76" s="10"/>
      <c r="E76" s="10"/>
    </row>
    <row r="77" spans="4:5" x14ac:dyDescent="0.15">
      <c r="D77" s="10"/>
      <c r="E77" s="10"/>
    </row>
    <row r="78" spans="4:5" x14ac:dyDescent="0.15">
      <c r="D78" s="10"/>
    </row>
    <row r="79" spans="4:5" x14ac:dyDescent="0.15">
      <c r="D79" s="10"/>
    </row>
    <row r="80" spans="4:5" x14ac:dyDescent="0.15">
      <c r="D80" s="10"/>
    </row>
    <row r="81" spans="4:5" x14ac:dyDescent="0.15">
      <c r="D81" s="10"/>
      <c r="E81" s="10"/>
    </row>
    <row r="82" spans="4:5" x14ac:dyDescent="0.15">
      <c r="D82" s="10"/>
      <c r="E82" s="10"/>
    </row>
    <row r="83" spans="4:5" x14ac:dyDescent="0.15">
      <c r="D83" s="10"/>
      <c r="E83" s="10"/>
    </row>
    <row r="84" spans="4:5" x14ac:dyDescent="0.15">
      <c r="D84" s="10"/>
      <c r="E84" s="10"/>
    </row>
    <row r="85" spans="4:5" x14ac:dyDescent="0.15">
      <c r="D85" s="10"/>
      <c r="E85" s="10"/>
    </row>
    <row r="86" spans="4:5" x14ac:dyDescent="0.15">
      <c r="D86" s="10"/>
      <c r="E86" s="10"/>
    </row>
    <row r="87" spans="4:5" x14ac:dyDescent="0.15">
      <c r="D87" s="10"/>
      <c r="E87" s="10"/>
    </row>
    <row r="88" spans="4:5" x14ac:dyDescent="0.15">
      <c r="D88" s="10"/>
    </row>
    <row r="89" spans="4:5" x14ac:dyDescent="0.15">
      <c r="D89" s="10"/>
    </row>
    <row r="90" spans="4:5" x14ac:dyDescent="0.15">
      <c r="D90" s="10"/>
    </row>
    <row r="91" spans="4:5" x14ac:dyDescent="0.15">
      <c r="D91" s="10"/>
    </row>
    <row r="92" spans="4:5" x14ac:dyDescent="0.15">
      <c r="D92" s="10"/>
    </row>
    <row r="93" spans="4:5" x14ac:dyDescent="0.15">
      <c r="D93" s="10"/>
    </row>
    <row r="94" spans="4:5" x14ac:dyDescent="0.15">
      <c r="D94" s="10"/>
      <c r="E94" s="10"/>
    </row>
    <row r="95" spans="4:5" x14ac:dyDescent="0.15">
      <c r="D95" s="10"/>
      <c r="E95" s="10"/>
    </row>
    <row r="96" spans="4:5" x14ac:dyDescent="0.15">
      <c r="D96" s="10"/>
      <c r="E96" s="10"/>
    </row>
    <row r="97" spans="4:5" x14ac:dyDescent="0.15">
      <c r="D97" s="10"/>
      <c r="E97" s="10"/>
    </row>
    <row r="98" spans="4:5" x14ac:dyDescent="0.15">
      <c r="D98" s="10"/>
    </row>
    <row r="99" spans="4:5" x14ac:dyDescent="0.15">
      <c r="D99" s="10"/>
    </row>
    <row r="100" spans="4:5" x14ac:dyDescent="0.15">
      <c r="D100" s="10"/>
    </row>
    <row r="101" spans="4:5" x14ac:dyDescent="0.15">
      <c r="D101" s="10"/>
      <c r="E101" s="10"/>
    </row>
    <row r="102" spans="4:5" x14ac:dyDescent="0.15">
      <c r="D102" s="10"/>
      <c r="E102" s="10"/>
    </row>
    <row r="103" spans="4:5" x14ac:dyDescent="0.15">
      <c r="D103" s="10"/>
      <c r="E103" s="10"/>
    </row>
    <row r="104" spans="4:5" x14ac:dyDescent="0.15">
      <c r="D104" s="10"/>
      <c r="E104" s="10"/>
    </row>
    <row r="105" spans="4:5" x14ac:dyDescent="0.15">
      <c r="D105" s="10"/>
      <c r="E105" s="10"/>
    </row>
    <row r="106" spans="4:5" x14ac:dyDescent="0.15">
      <c r="D106" s="10"/>
      <c r="E106" s="10"/>
    </row>
    <row r="107" spans="4:5" x14ac:dyDescent="0.15">
      <c r="D107" s="10"/>
      <c r="E107" s="10"/>
    </row>
    <row r="108" spans="4:5" x14ac:dyDescent="0.15">
      <c r="D108" s="10"/>
    </row>
    <row r="109" spans="4:5" x14ac:dyDescent="0.15">
      <c r="D109" s="10"/>
    </row>
    <row r="110" spans="4:5" x14ac:dyDescent="0.15">
      <c r="D110" s="10"/>
    </row>
    <row r="111" spans="4:5" x14ac:dyDescent="0.15">
      <c r="D111" s="10"/>
    </row>
    <row r="112" spans="4:5" x14ac:dyDescent="0.15">
      <c r="D112" s="10"/>
    </row>
    <row r="113" spans="4:5" x14ac:dyDescent="0.15">
      <c r="D113" s="10"/>
    </row>
    <row r="114" spans="4:5" x14ac:dyDescent="0.15">
      <c r="D114" s="10"/>
      <c r="E114" s="10"/>
    </row>
    <row r="115" spans="4:5" x14ac:dyDescent="0.15">
      <c r="D115" s="10"/>
      <c r="E115" s="10"/>
    </row>
    <row r="116" spans="4:5" x14ac:dyDescent="0.15">
      <c r="D116" s="10"/>
      <c r="E116" s="10"/>
    </row>
    <row r="117" spans="4:5" x14ac:dyDescent="0.15">
      <c r="D117" s="10"/>
      <c r="E117" s="10"/>
    </row>
    <row r="118" spans="4:5" x14ac:dyDescent="0.15">
      <c r="D118" s="10"/>
    </row>
    <row r="119" spans="4:5" x14ac:dyDescent="0.15">
      <c r="D119" s="10"/>
    </row>
    <row r="120" spans="4:5" x14ac:dyDescent="0.15">
      <c r="D120" s="10"/>
    </row>
    <row r="121" spans="4:5" x14ac:dyDescent="0.15">
      <c r="D121" s="10"/>
      <c r="E121" s="10"/>
    </row>
    <row r="122" spans="4:5" x14ac:dyDescent="0.15">
      <c r="D122" s="10"/>
      <c r="E122" s="10"/>
    </row>
    <row r="123" spans="4:5" x14ac:dyDescent="0.15">
      <c r="D123" s="10"/>
      <c r="E123" s="10"/>
    </row>
    <row r="124" spans="4:5" x14ac:dyDescent="0.15">
      <c r="D124" s="10"/>
      <c r="E124" s="10"/>
    </row>
    <row r="125" spans="4:5" x14ac:dyDescent="0.15">
      <c r="D125" s="10"/>
      <c r="E125" s="10"/>
    </row>
    <row r="126" spans="4:5" x14ac:dyDescent="0.15">
      <c r="D126" s="10"/>
      <c r="E126" s="10"/>
    </row>
    <row r="127" spans="4:5" x14ac:dyDescent="0.15">
      <c r="D127" s="10"/>
      <c r="E127" s="10"/>
    </row>
    <row r="128" spans="4:5" x14ac:dyDescent="0.15">
      <c r="D128" s="10"/>
    </row>
    <row r="129" spans="4:5" x14ac:dyDescent="0.15">
      <c r="D129" s="10"/>
    </row>
    <row r="130" spans="4:5" x14ac:dyDescent="0.15">
      <c r="D130" s="10"/>
    </row>
    <row r="131" spans="4:5" x14ac:dyDescent="0.15">
      <c r="D131" s="10"/>
    </row>
    <row r="132" spans="4:5" x14ac:dyDescent="0.15">
      <c r="D132" s="10"/>
    </row>
    <row r="133" spans="4:5" x14ac:dyDescent="0.15">
      <c r="D133" s="10"/>
    </row>
    <row r="134" spans="4:5" x14ac:dyDescent="0.15">
      <c r="D134" s="10"/>
      <c r="E134" s="10"/>
    </row>
    <row r="135" spans="4:5" x14ac:dyDescent="0.15">
      <c r="D135" s="10"/>
      <c r="E135" s="10"/>
    </row>
    <row r="136" spans="4:5" x14ac:dyDescent="0.15">
      <c r="D136" s="10"/>
      <c r="E136" s="10"/>
    </row>
    <row r="137" spans="4:5" x14ac:dyDescent="0.15">
      <c r="D137" s="10"/>
      <c r="E137" s="10"/>
    </row>
    <row r="138" spans="4:5" x14ac:dyDescent="0.15">
      <c r="D138" s="10"/>
    </row>
    <row r="139" spans="4:5" x14ac:dyDescent="0.15">
      <c r="D139" s="10"/>
    </row>
    <row r="140" spans="4:5" x14ac:dyDescent="0.15">
      <c r="D140" s="10"/>
    </row>
    <row r="141" spans="4:5" x14ac:dyDescent="0.15">
      <c r="D141" s="10"/>
      <c r="E141" s="10"/>
    </row>
    <row r="142" spans="4:5" x14ac:dyDescent="0.15">
      <c r="D142" s="10"/>
      <c r="E142" s="10"/>
    </row>
    <row r="143" spans="4:5" x14ac:dyDescent="0.15">
      <c r="D143" s="10"/>
      <c r="E143" s="10"/>
    </row>
    <row r="144" spans="4:5" x14ac:dyDescent="0.15">
      <c r="D144" s="10"/>
      <c r="E144" s="10"/>
    </row>
    <row r="145" spans="4:5" x14ac:dyDescent="0.15">
      <c r="D145" s="10"/>
      <c r="E145" s="10"/>
    </row>
    <row r="146" spans="4:5" x14ac:dyDescent="0.15">
      <c r="D146" s="10"/>
      <c r="E146" s="10"/>
    </row>
    <row r="147" spans="4:5" x14ac:dyDescent="0.15">
      <c r="D147" s="10"/>
      <c r="E147" s="10"/>
    </row>
    <row r="148" spans="4:5" x14ac:dyDescent="0.15">
      <c r="D148" s="10"/>
    </row>
    <row r="149" spans="4:5" x14ac:dyDescent="0.15">
      <c r="D149" s="10"/>
    </row>
    <row r="150" spans="4:5" x14ac:dyDescent="0.15">
      <c r="D150" s="10"/>
    </row>
    <row r="151" spans="4:5" x14ac:dyDescent="0.15">
      <c r="D151" s="10"/>
    </row>
    <row r="152" spans="4:5" x14ac:dyDescent="0.15">
      <c r="D152" s="10"/>
    </row>
    <row r="153" spans="4:5" x14ac:dyDescent="0.15">
      <c r="D153" s="10"/>
    </row>
    <row r="154" spans="4:5" x14ac:dyDescent="0.15">
      <c r="D154" s="10"/>
      <c r="E154" s="10"/>
    </row>
    <row r="155" spans="4:5" x14ac:dyDescent="0.15">
      <c r="D155" s="10"/>
      <c r="E155" s="10"/>
    </row>
    <row r="156" spans="4:5" x14ac:dyDescent="0.15">
      <c r="D156" s="10"/>
      <c r="E156" s="10"/>
    </row>
    <row r="157" spans="4:5" x14ac:dyDescent="0.15">
      <c r="D157" s="10"/>
      <c r="E157" s="10"/>
    </row>
    <row r="158" spans="4:5" x14ac:dyDescent="0.15">
      <c r="D158" s="10"/>
    </row>
    <row r="159" spans="4:5" x14ac:dyDescent="0.15">
      <c r="D159" s="10"/>
    </row>
    <row r="160" spans="4:5" x14ac:dyDescent="0.15">
      <c r="D160" s="10"/>
    </row>
    <row r="161" spans="4:5" x14ac:dyDescent="0.15">
      <c r="D161" s="10"/>
      <c r="E161" s="10"/>
    </row>
    <row r="162" spans="4:5" x14ac:dyDescent="0.15">
      <c r="D162" s="10"/>
      <c r="E162" s="10"/>
    </row>
    <row r="163" spans="4:5" x14ac:dyDescent="0.15">
      <c r="D163" s="10"/>
      <c r="E163" s="10"/>
    </row>
    <row r="164" spans="4:5" x14ac:dyDescent="0.15">
      <c r="D164" s="10"/>
      <c r="E164" s="10"/>
    </row>
    <row r="165" spans="4:5" x14ac:dyDescent="0.15">
      <c r="D165" s="10"/>
      <c r="E165" s="10"/>
    </row>
    <row r="166" spans="4:5" x14ac:dyDescent="0.15">
      <c r="D166" s="10"/>
      <c r="E166" s="10"/>
    </row>
    <row r="167" spans="4:5" x14ac:dyDescent="0.15">
      <c r="D167" s="10"/>
      <c r="E167" s="10"/>
    </row>
    <row r="168" spans="4:5" x14ac:dyDescent="0.15">
      <c r="D168" s="10"/>
    </row>
    <row r="169" spans="4:5" x14ac:dyDescent="0.15">
      <c r="D169" s="10"/>
    </row>
    <row r="170" spans="4:5" x14ac:dyDescent="0.15">
      <c r="D170" s="10"/>
    </row>
    <row r="171" spans="4:5" x14ac:dyDescent="0.15">
      <c r="D171" s="10"/>
    </row>
    <row r="172" spans="4:5" x14ac:dyDescent="0.15">
      <c r="D172" s="10"/>
    </row>
    <row r="173" spans="4:5" x14ac:dyDescent="0.15">
      <c r="D173" s="10"/>
    </row>
    <row r="174" spans="4:5" x14ac:dyDescent="0.15">
      <c r="D174" s="10"/>
      <c r="E174" s="10"/>
    </row>
    <row r="175" spans="4:5" x14ac:dyDescent="0.15">
      <c r="D175" s="10"/>
      <c r="E175" s="10"/>
    </row>
    <row r="176" spans="4:5" x14ac:dyDescent="0.15">
      <c r="D176" s="10"/>
      <c r="E176" s="10"/>
    </row>
    <row r="177" spans="4:5" x14ac:dyDescent="0.15">
      <c r="D177" s="10"/>
      <c r="E177" s="10"/>
    </row>
    <row r="178" spans="4:5" x14ac:dyDescent="0.15">
      <c r="D178" s="10"/>
    </row>
    <row r="179" spans="4:5" x14ac:dyDescent="0.15">
      <c r="D179" s="10"/>
    </row>
    <row r="180" spans="4:5" x14ac:dyDescent="0.15">
      <c r="D180" s="10"/>
    </row>
    <row r="181" spans="4:5" x14ac:dyDescent="0.15">
      <c r="D181" s="10"/>
      <c r="E181" s="10"/>
    </row>
    <row r="182" spans="4:5" x14ac:dyDescent="0.15">
      <c r="D182" s="10"/>
      <c r="E182" s="10"/>
    </row>
    <row r="183" spans="4:5" x14ac:dyDescent="0.15">
      <c r="D183" s="10"/>
      <c r="E183" s="10"/>
    </row>
    <row r="184" spans="4:5" x14ac:dyDescent="0.15">
      <c r="D184" s="10"/>
      <c r="E184" s="10"/>
    </row>
    <row r="185" spans="4:5" x14ac:dyDescent="0.15">
      <c r="D185" s="10"/>
      <c r="E185" s="10"/>
    </row>
    <row r="186" spans="4:5" x14ac:dyDescent="0.15">
      <c r="D186" s="10"/>
      <c r="E186" s="10"/>
    </row>
    <row r="187" spans="4:5" x14ac:dyDescent="0.15">
      <c r="D187" s="10"/>
      <c r="E187" s="10"/>
    </row>
    <row r="188" spans="4:5" x14ac:dyDescent="0.15">
      <c r="D188" s="10"/>
    </row>
    <row r="189" spans="4:5" x14ac:dyDescent="0.15">
      <c r="D189" s="10"/>
    </row>
    <row r="190" spans="4:5" x14ac:dyDescent="0.15">
      <c r="D190" s="10"/>
    </row>
    <row r="191" spans="4:5" x14ac:dyDescent="0.15">
      <c r="D191" s="10"/>
    </row>
    <row r="192" spans="4:5" x14ac:dyDescent="0.15">
      <c r="D192" s="10"/>
    </row>
    <row r="193" spans="4:5" x14ac:dyDescent="0.15">
      <c r="D193" s="10"/>
    </row>
    <row r="194" spans="4:5" x14ac:dyDescent="0.15">
      <c r="D194" s="10"/>
      <c r="E194" s="10"/>
    </row>
    <row r="195" spans="4:5" x14ac:dyDescent="0.15">
      <c r="D195" s="10"/>
      <c r="E195" s="10"/>
    </row>
    <row r="196" spans="4:5" x14ac:dyDescent="0.15">
      <c r="D196" s="10"/>
      <c r="E196" s="10"/>
    </row>
    <row r="197" spans="4:5" x14ac:dyDescent="0.15">
      <c r="D197" s="10"/>
      <c r="E197" s="10"/>
    </row>
    <row r="198" spans="4:5" x14ac:dyDescent="0.15">
      <c r="D198" s="10"/>
    </row>
    <row r="199" spans="4:5" x14ac:dyDescent="0.15">
      <c r="D199" s="10"/>
    </row>
    <row r="200" spans="4:5" x14ac:dyDescent="0.15">
      <c r="D200" s="10"/>
    </row>
    <row r="201" spans="4:5" x14ac:dyDescent="0.15">
      <c r="D201" s="10"/>
      <c r="E201" s="10"/>
    </row>
    <row r="202" spans="4:5" x14ac:dyDescent="0.15">
      <c r="D202" s="10"/>
      <c r="E202" s="10"/>
    </row>
    <row r="203" spans="4:5" x14ac:dyDescent="0.15">
      <c r="D203" s="10"/>
      <c r="E203" s="10"/>
    </row>
    <row r="204" spans="4:5" x14ac:dyDescent="0.15">
      <c r="D204" s="10"/>
      <c r="E204" s="10"/>
    </row>
    <row r="205" spans="4:5" x14ac:dyDescent="0.15">
      <c r="D205" s="10"/>
      <c r="E205" s="10"/>
    </row>
    <row r="206" spans="4:5" x14ac:dyDescent="0.15">
      <c r="D206" s="10"/>
      <c r="E206" s="10"/>
    </row>
    <row r="207" spans="4:5" x14ac:dyDescent="0.15">
      <c r="D207" s="10"/>
      <c r="E207" s="10"/>
    </row>
    <row r="208" spans="4:5" x14ac:dyDescent="0.15">
      <c r="D208" s="10"/>
    </row>
    <row r="209" spans="4:5" x14ac:dyDescent="0.15">
      <c r="D209" s="10"/>
    </row>
    <row r="210" spans="4:5" x14ac:dyDescent="0.15">
      <c r="D210" s="10"/>
    </row>
    <row r="211" spans="4:5" x14ac:dyDescent="0.15">
      <c r="D211" s="10"/>
    </row>
    <row r="212" spans="4:5" x14ac:dyDescent="0.15">
      <c r="D212" s="10"/>
    </row>
    <row r="213" spans="4:5" x14ac:dyDescent="0.15">
      <c r="D213" s="10"/>
    </row>
    <row r="214" spans="4:5" x14ac:dyDescent="0.15">
      <c r="D214" s="10"/>
      <c r="E214" s="10"/>
    </row>
    <row r="215" spans="4:5" x14ac:dyDescent="0.15">
      <c r="D215" s="10"/>
      <c r="E215" s="10"/>
    </row>
    <row r="216" spans="4:5" x14ac:dyDescent="0.15">
      <c r="D216" s="10"/>
      <c r="E216" s="10"/>
    </row>
    <row r="217" spans="4:5" x14ac:dyDescent="0.15">
      <c r="D217" s="10"/>
      <c r="E217" s="10"/>
    </row>
    <row r="218" spans="4:5" x14ac:dyDescent="0.15">
      <c r="D218" s="10"/>
    </row>
    <row r="219" spans="4:5" x14ac:dyDescent="0.15">
      <c r="D219" s="10"/>
    </row>
    <row r="220" spans="4:5" x14ac:dyDescent="0.15">
      <c r="D220" s="10"/>
    </row>
    <row r="221" spans="4:5" x14ac:dyDescent="0.15">
      <c r="D221" s="10"/>
      <c r="E221" s="10"/>
    </row>
    <row r="222" spans="4:5" x14ac:dyDescent="0.15">
      <c r="D222" s="10"/>
      <c r="E222" s="10"/>
    </row>
    <row r="223" spans="4:5" x14ac:dyDescent="0.15">
      <c r="D223" s="10"/>
      <c r="E223" s="10"/>
    </row>
    <row r="224" spans="4:5" x14ac:dyDescent="0.15">
      <c r="D224" s="10"/>
      <c r="E224" s="10"/>
    </row>
    <row r="225" spans="4:5" x14ac:dyDescent="0.15">
      <c r="D225" s="10"/>
      <c r="E225" s="10"/>
    </row>
    <row r="226" spans="4:5" x14ac:dyDescent="0.15">
      <c r="D226" s="10"/>
      <c r="E226" s="10"/>
    </row>
    <row r="227" spans="4:5" x14ac:dyDescent="0.15">
      <c r="D227" s="10"/>
      <c r="E227" s="10"/>
    </row>
    <row r="228" spans="4:5" x14ac:dyDescent="0.15">
      <c r="D228" s="10"/>
    </row>
    <row r="229" spans="4:5" x14ac:dyDescent="0.15">
      <c r="D229" s="10"/>
    </row>
    <row r="230" spans="4:5" x14ac:dyDescent="0.15">
      <c r="D230" s="10"/>
    </row>
    <row r="231" spans="4:5" x14ac:dyDescent="0.15">
      <c r="D231" s="10"/>
    </row>
    <row r="232" spans="4:5" x14ac:dyDescent="0.15">
      <c r="D232" s="10"/>
    </row>
    <row r="233" spans="4:5" x14ac:dyDescent="0.15">
      <c r="D233" s="10"/>
    </row>
    <row r="234" spans="4:5" x14ac:dyDescent="0.15">
      <c r="D234" s="10"/>
      <c r="E234" s="10"/>
    </row>
    <row r="235" spans="4:5" x14ac:dyDescent="0.15">
      <c r="D235" s="10"/>
      <c r="E235" s="10"/>
    </row>
    <row r="236" spans="4:5" x14ac:dyDescent="0.15">
      <c r="D236" s="10"/>
      <c r="E236" s="10"/>
    </row>
    <row r="237" spans="4:5" x14ac:dyDescent="0.15">
      <c r="D237" s="10"/>
      <c r="E237" s="10"/>
    </row>
    <row r="238" spans="4:5" x14ac:dyDescent="0.15">
      <c r="D238" s="10"/>
    </row>
    <row r="239" spans="4:5" x14ac:dyDescent="0.15">
      <c r="D239" s="10"/>
    </row>
    <row r="240" spans="4:5" x14ac:dyDescent="0.15">
      <c r="D240" s="10"/>
    </row>
    <row r="241" spans="4:5" x14ac:dyDescent="0.15">
      <c r="D241" s="10"/>
      <c r="E241" s="10"/>
    </row>
    <row r="242" spans="4:5" x14ac:dyDescent="0.15">
      <c r="D242" s="10"/>
      <c r="E242" s="10"/>
    </row>
    <row r="243" spans="4:5" x14ac:dyDescent="0.15">
      <c r="D243" s="10"/>
      <c r="E243" s="10"/>
    </row>
    <row r="244" spans="4:5" x14ac:dyDescent="0.15">
      <c r="D244" s="10"/>
      <c r="E244" s="10"/>
    </row>
    <row r="245" spans="4:5" x14ac:dyDescent="0.15">
      <c r="D245" s="10"/>
      <c r="E245" s="10"/>
    </row>
    <row r="246" spans="4:5" x14ac:dyDescent="0.15">
      <c r="D246" s="10"/>
      <c r="E246" s="10"/>
    </row>
    <row r="247" spans="4:5" x14ac:dyDescent="0.15">
      <c r="D247" s="10"/>
      <c r="E247" s="10"/>
    </row>
    <row r="248" spans="4:5" x14ac:dyDescent="0.15">
      <c r="D248" s="10"/>
    </row>
    <row r="249" spans="4:5" x14ac:dyDescent="0.15">
      <c r="D249" s="10"/>
    </row>
    <row r="250" spans="4:5" x14ac:dyDescent="0.15">
      <c r="D250" s="10"/>
    </row>
    <row r="251" spans="4:5" x14ac:dyDescent="0.15">
      <c r="D251" s="10"/>
    </row>
    <row r="252" spans="4:5" x14ac:dyDescent="0.15">
      <c r="D252" s="10"/>
    </row>
    <row r="253" spans="4:5" x14ac:dyDescent="0.15">
      <c r="D253" s="10"/>
    </row>
    <row r="254" spans="4:5" x14ac:dyDescent="0.15">
      <c r="D254" s="10"/>
      <c r="E254" s="10"/>
    </row>
    <row r="255" spans="4:5" x14ac:dyDescent="0.15">
      <c r="D255" s="10"/>
      <c r="E255" s="10"/>
    </row>
    <row r="256" spans="4:5" x14ac:dyDescent="0.15">
      <c r="D256" s="10"/>
      <c r="E256" s="10"/>
    </row>
    <row r="257" spans="4:5" x14ac:dyDescent="0.15">
      <c r="D257" s="10"/>
      <c r="E257" s="10"/>
    </row>
    <row r="258" spans="4:5" x14ac:dyDescent="0.15">
      <c r="D258" s="10"/>
    </row>
    <row r="259" spans="4:5" x14ac:dyDescent="0.15">
      <c r="D259" s="10"/>
    </row>
    <row r="260" spans="4:5" x14ac:dyDescent="0.15">
      <c r="D260" s="10"/>
    </row>
    <row r="261" spans="4:5" x14ac:dyDescent="0.15">
      <c r="D261" s="10"/>
      <c r="E261" s="10"/>
    </row>
    <row r="262" spans="4:5" x14ac:dyDescent="0.15">
      <c r="D262" s="10"/>
      <c r="E262" s="10"/>
    </row>
    <row r="263" spans="4:5" x14ac:dyDescent="0.15">
      <c r="D263" s="10"/>
      <c r="E263" s="10"/>
    </row>
    <row r="264" spans="4:5" x14ac:dyDescent="0.15">
      <c r="D264" s="10"/>
      <c r="E264" s="10"/>
    </row>
    <row r="265" spans="4:5" x14ac:dyDescent="0.15">
      <c r="D265" s="10"/>
      <c r="E265" s="10"/>
    </row>
    <row r="266" spans="4:5" x14ac:dyDescent="0.15">
      <c r="D266" s="10"/>
      <c r="E266" s="10"/>
    </row>
    <row r="267" spans="4:5" x14ac:dyDescent="0.15">
      <c r="D267" s="10"/>
      <c r="E267" s="10"/>
    </row>
    <row r="268" spans="4:5" x14ac:dyDescent="0.15">
      <c r="D268" s="10"/>
    </row>
    <row r="269" spans="4:5" x14ac:dyDescent="0.15">
      <c r="D269" s="10"/>
    </row>
    <row r="270" spans="4:5" x14ac:dyDescent="0.15">
      <c r="D270" s="10"/>
    </row>
    <row r="271" spans="4:5" x14ac:dyDescent="0.15">
      <c r="D271" s="10"/>
    </row>
    <row r="272" spans="4:5" x14ac:dyDescent="0.15">
      <c r="D272" s="10"/>
    </row>
    <row r="273" spans="4:5" x14ac:dyDescent="0.15">
      <c r="D273" s="10"/>
    </row>
    <row r="274" spans="4:5" x14ac:dyDescent="0.15">
      <c r="D274" s="10"/>
      <c r="E274" s="10"/>
    </row>
    <row r="275" spans="4:5" x14ac:dyDescent="0.15">
      <c r="D275" s="10"/>
      <c r="E275" s="10"/>
    </row>
    <row r="276" spans="4:5" x14ac:dyDescent="0.15">
      <c r="D276" s="10"/>
      <c r="E276" s="10"/>
    </row>
    <row r="277" spans="4:5" x14ac:dyDescent="0.15">
      <c r="D277" s="10"/>
      <c r="E277" s="10"/>
    </row>
    <row r="278" spans="4:5" x14ac:dyDescent="0.15">
      <c r="D278" s="10"/>
    </row>
    <row r="279" spans="4:5" x14ac:dyDescent="0.15">
      <c r="D279" s="10"/>
    </row>
    <row r="280" spans="4:5" x14ac:dyDescent="0.15">
      <c r="D280" s="10"/>
    </row>
    <row r="281" spans="4:5" x14ac:dyDescent="0.15">
      <c r="D281" s="10"/>
      <c r="E281" s="10"/>
    </row>
    <row r="282" spans="4:5" x14ac:dyDescent="0.15">
      <c r="D282" s="10"/>
      <c r="E282" s="10"/>
    </row>
    <row r="283" spans="4:5" x14ac:dyDescent="0.15">
      <c r="D283" s="10"/>
      <c r="E283" s="10"/>
    </row>
    <row r="284" spans="4:5" x14ac:dyDescent="0.15">
      <c r="D284" s="10"/>
      <c r="E284" s="10"/>
    </row>
    <row r="285" spans="4:5" x14ac:dyDescent="0.15">
      <c r="D285" s="10"/>
      <c r="E285" s="10"/>
    </row>
    <row r="286" spans="4:5" x14ac:dyDescent="0.15">
      <c r="D286" s="10"/>
      <c r="E286" s="10"/>
    </row>
    <row r="287" spans="4:5" x14ac:dyDescent="0.15">
      <c r="D287" s="10"/>
      <c r="E287" s="10"/>
    </row>
    <row r="288" spans="4:5" x14ac:dyDescent="0.15">
      <c r="D288" s="10"/>
    </row>
    <row r="289" spans="4:5" x14ac:dyDescent="0.15">
      <c r="D289" s="10"/>
    </row>
    <row r="290" spans="4:5" x14ac:dyDescent="0.15">
      <c r="D290" s="10"/>
    </row>
    <row r="291" spans="4:5" x14ac:dyDescent="0.15">
      <c r="D291" s="10"/>
    </row>
    <row r="292" spans="4:5" x14ac:dyDescent="0.15">
      <c r="D292" s="10"/>
    </row>
    <row r="293" spans="4:5" x14ac:dyDescent="0.15">
      <c r="D293" s="10"/>
    </row>
    <row r="294" spans="4:5" x14ac:dyDescent="0.15">
      <c r="D294" s="10"/>
      <c r="E294" s="10"/>
    </row>
    <row r="295" spans="4:5" x14ac:dyDescent="0.15">
      <c r="D295" s="10"/>
      <c r="E295" s="10"/>
    </row>
    <row r="296" spans="4:5" x14ac:dyDescent="0.15">
      <c r="D296" s="10"/>
      <c r="E296" s="10"/>
    </row>
    <row r="297" spans="4:5" x14ac:dyDescent="0.15">
      <c r="D297" s="10"/>
      <c r="E297" s="10"/>
    </row>
    <row r="298" spans="4:5" x14ac:dyDescent="0.15">
      <c r="D298" s="10"/>
    </row>
    <row r="299" spans="4:5" x14ac:dyDescent="0.15">
      <c r="D299" s="10"/>
    </row>
    <row r="300" spans="4:5" x14ac:dyDescent="0.15">
      <c r="D300" s="10"/>
    </row>
    <row r="301" spans="4:5" x14ac:dyDescent="0.15">
      <c r="D301" s="10"/>
      <c r="E301" s="10"/>
    </row>
    <row r="302" spans="4:5" x14ac:dyDescent="0.15">
      <c r="D302" s="10"/>
      <c r="E302" s="10"/>
    </row>
    <row r="303" spans="4:5" x14ac:dyDescent="0.15">
      <c r="D303" s="10"/>
      <c r="E303" s="10"/>
    </row>
    <row r="304" spans="4:5" x14ac:dyDescent="0.15">
      <c r="D304" s="10"/>
      <c r="E304" s="10"/>
    </row>
    <row r="305" spans="4:5" x14ac:dyDescent="0.15">
      <c r="D305" s="10"/>
      <c r="E305" s="10"/>
    </row>
    <row r="306" spans="4:5" x14ac:dyDescent="0.15">
      <c r="D306" s="10"/>
      <c r="E306" s="10"/>
    </row>
    <row r="307" spans="4:5" x14ac:dyDescent="0.15">
      <c r="D307" s="10"/>
      <c r="E307" s="10"/>
    </row>
    <row r="308" spans="4:5" x14ac:dyDescent="0.15">
      <c r="D308" s="10"/>
    </row>
    <row r="309" spans="4:5" x14ac:dyDescent="0.15">
      <c r="D309" s="10"/>
    </row>
    <row r="310" spans="4:5" x14ac:dyDescent="0.15">
      <c r="D310" s="10"/>
    </row>
    <row r="311" spans="4:5" x14ac:dyDescent="0.15">
      <c r="D311" s="10"/>
    </row>
    <row r="312" spans="4:5" x14ac:dyDescent="0.15">
      <c r="D312" s="10"/>
    </row>
    <row r="313" spans="4:5" x14ac:dyDescent="0.15">
      <c r="D313" s="10"/>
    </row>
    <row r="314" spans="4:5" x14ac:dyDescent="0.15">
      <c r="D314" s="10"/>
      <c r="E314" s="10"/>
    </row>
    <row r="315" spans="4:5" x14ac:dyDescent="0.15">
      <c r="D315" s="10"/>
      <c r="E315" s="10"/>
    </row>
    <row r="316" spans="4:5" x14ac:dyDescent="0.15">
      <c r="D316" s="10"/>
      <c r="E316" s="10"/>
    </row>
    <row r="317" spans="4:5" x14ac:dyDescent="0.15">
      <c r="D317" s="10"/>
      <c r="E317" s="10"/>
    </row>
    <row r="318" spans="4:5" x14ac:dyDescent="0.15">
      <c r="D318" s="10"/>
    </row>
    <row r="319" spans="4:5" x14ac:dyDescent="0.15">
      <c r="D319" s="10"/>
    </row>
    <row r="320" spans="4:5" x14ac:dyDescent="0.15">
      <c r="D320" s="10"/>
    </row>
    <row r="321" spans="4:5" x14ac:dyDescent="0.15">
      <c r="D321" s="10"/>
      <c r="E321" s="10"/>
    </row>
    <row r="322" spans="4:5" x14ac:dyDescent="0.15">
      <c r="D322" s="10"/>
      <c r="E322" s="10"/>
    </row>
    <row r="323" spans="4:5" x14ac:dyDescent="0.15">
      <c r="D323" s="10"/>
      <c r="E323" s="10"/>
    </row>
    <row r="324" spans="4:5" x14ac:dyDescent="0.15">
      <c r="D324" s="10"/>
      <c r="E324" s="10"/>
    </row>
    <row r="325" spans="4:5" x14ac:dyDescent="0.15">
      <c r="D325" s="10"/>
      <c r="E325" s="10"/>
    </row>
    <row r="326" spans="4:5" x14ac:dyDescent="0.15">
      <c r="D326" s="10"/>
      <c r="E326" s="10"/>
    </row>
    <row r="327" spans="4:5" x14ac:dyDescent="0.15">
      <c r="D327" s="10"/>
      <c r="E327" s="10"/>
    </row>
    <row r="328" spans="4:5" x14ac:dyDescent="0.15">
      <c r="D328" s="10"/>
    </row>
    <row r="329" spans="4:5" x14ac:dyDescent="0.15">
      <c r="D329" s="10"/>
    </row>
    <row r="330" spans="4:5" x14ac:dyDescent="0.15">
      <c r="D330" s="10"/>
    </row>
    <row r="331" spans="4:5" x14ac:dyDescent="0.15">
      <c r="D331" s="10"/>
    </row>
    <row r="332" spans="4:5" x14ac:dyDescent="0.15">
      <c r="D332" s="10"/>
    </row>
    <row r="333" spans="4:5" x14ac:dyDescent="0.15">
      <c r="D333" s="10"/>
    </row>
    <row r="334" spans="4:5" x14ac:dyDescent="0.15">
      <c r="D334" s="10"/>
      <c r="E334" s="10"/>
    </row>
    <row r="335" spans="4:5" x14ac:dyDescent="0.15">
      <c r="D335" s="10"/>
      <c r="E335" s="10"/>
    </row>
    <row r="336" spans="4:5" x14ac:dyDescent="0.15">
      <c r="D336" s="10"/>
      <c r="E336" s="10"/>
    </row>
    <row r="337" spans="4:5" x14ac:dyDescent="0.15">
      <c r="D337" s="10"/>
      <c r="E337" s="10"/>
    </row>
    <row r="338" spans="4:5" x14ac:dyDescent="0.15">
      <c r="D338" s="10"/>
    </row>
    <row r="339" spans="4:5" x14ac:dyDescent="0.15">
      <c r="D339" s="10"/>
    </row>
    <row r="340" spans="4:5" x14ac:dyDescent="0.15">
      <c r="D340" s="10"/>
    </row>
    <row r="341" spans="4:5" x14ac:dyDescent="0.15">
      <c r="D341" s="10"/>
      <c r="E341" s="10"/>
    </row>
    <row r="342" spans="4:5" x14ac:dyDescent="0.15">
      <c r="D342" s="10"/>
      <c r="E342" s="10"/>
    </row>
    <row r="343" spans="4:5" x14ac:dyDescent="0.15">
      <c r="D343" s="10"/>
      <c r="E343" s="10"/>
    </row>
    <row r="344" spans="4:5" x14ac:dyDescent="0.15">
      <c r="D344" s="10"/>
      <c r="E344" s="10"/>
    </row>
    <row r="345" spans="4:5" x14ac:dyDescent="0.15">
      <c r="D345" s="10"/>
      <c r="E345" s="10"/>
    </row>
    <row r="346" spans="4:5" x14ac:dyDescent="0.15">
      <c r="D346" s="10"/>
      <c r="E346" s="10"/>
    </row>
    <row r="347" spans="4:5" x14ac:dyDescent="0.15">
      <c r="D347" s="10"/>
      <c r="E347" s="10"/>
    </row>
    <row r="348" spans="4:5" x14ac:dyDescent="0.15">
      <c r="D348" s="10"/>
    </row>
    <row r="349" spans="4:5" x14ac:dyDescent="0.15">
      <c r="D349" s="10"/>
    </row>
    <row r="350" spans="4:5" x14ac:dyDescent="0.15">
      <c r="D350" s="10"/>
    </row>
    <row r="351" spans="4:5" x14ac:dyDescent="0.15">
      <c r="D351" s="10"/>
    </row>
    <row r="352" spans="4:5" x14ac:dyDescent="0.15">
      <c r="D352" s="10"/>
    </row>
    <row r="353" spans="4:5" x14ac:dyDescent="0.15">
      <c r="D353" s="10"/>
    </row>
    <row r="354" spans="4:5" x14ac:dyDescent="0.15">
      <c r="D354" s="10"/>
      <c r="E354" s="10"/>
    </row>
    <row r="355" spans="4:5" x14ac:dyDescent="0.15">
      <c r="D355" s="10"/>
      <c r="E355" s="10"/>
    </row>
    <row r="356" spans="4:5" x14ac:dyDescent="0.15">
      <c r="D356" s="10"/>
      <c r="E356" s="10"/>
    </row>
    <row r="357" spans="4:5" x14ac:dyDescent="0.15">
      <c r="D357" s="10"/>
      <c r="E357" s="10"/>
    </row>
    <row r="358" spans="4:5" x14ac:dyDescent="0.15">
      <c r="D358" s="10"/>
    </row>
    <row r="359" spans="4:5" x14ac:dyDescent="0.15">
      <c r="D359" s="10"/>
    </row>
    <row r="360" spans="4:5" x14ac:dyDescent="0.15">
      <c r="D360" s="10"/>
    </row>
    <row r="361" spans="4:5" x14ac:dyDescent="0.15">
      <c r="D361" s="10"/>
      <c r="E361" s="10"/>
    </row>
    <row r="362" spans="4:5" x14ac:dyDescent="0.15">
      <c r="D362" s="10"/>
      <c r="E362" s="10"/>
    </row>
    <row r="363" spans="4:5" x14ac:dyDescent="0.15">
      <c r="D363" s="10"/>
      <c r="E363" s="10"/>
    </row>
    <row r="364" spans="4:5" x14ac:dyDescent="0.15">
      <c r="D364" s="10"/>
      <c r="E364" s="10"/>
    </row>
    <row r="365" spans="4:5" x14ac:dyDescent="0.15">
      <c r="D365" s="10"/>
      <c r="E365" s="10"/>
    </row>
    <row r="366" spans="4:5" x14ac:dyDescent="0.15">
      <c r="D366" s="10"/>
      <c r="E366" s="10"/>
    </row>
    <row r="367" spans="4:5" x14ac:dyDescent="0.15">
      <c r="D367" s="10"/>
      <c r="E367" s="10"/>
    </row>
    <row r="368" spans="4:5" x14ac:dyDescent="0.15">
      <c r="D368" s="10"/>
    </row>
    <row r="369" spans="4:5" x14ac:dyDescent="0.15">
      <c r="D369" s="10"/>
    </row>
    <row r="370" spans="4:5" x14ac:dyDescent="0.15">
      <c r="D370" s="10"/>
    </row>
    <row r="371" spans="4:5" x14ac:dyDescent="0.15">
      <c r="D371" s="10"/>
    </row>
    <row r="372" spans="4:5" x14ac:dyDescent="0.15">
      <c r="D372" s="10"/>
    </row>
    <row r="373" spans="4:5" x14ac:dyDescent="0.15">
      <c r="D373" s="10"/>
    </row>
    <row r="374" spans="4:5" x14ac:dyDescent="0.15">
      <c r="D374" s="10"/>
      <c r="E374" s="10"/>
    </row>
    <row r="375" spans="4:5" x14ac:dyDescent="0.15">
      <c r="D375" s="10"/>
      <c r="E375" s="10"/>
    </row>
    <row r="376" spans="4:5" x14ac:dyDescent="0.15">
      <c r="D376" s="10"/>
      <c r="E376" s="10"/>
    </row>
    <row r="377" spans="4:5" x14ac:dyDescent="0.15">
      <c r="D377" s="10"/>
      <c r="E377" s="10"/>
    </row>
    <row r="378" spans="4:5" x14ac:dyDescent="0.15">
      <c r="D378" s="10"/>
    </row>
    <row r="379" spans="4:5" x14ac:dyDescent="0.15">
      <c r="D379" s="10"/>
    </row>
    <row r="380" spans="4:5" x14ac:dyDescent="0.15">
      <c r="D380" s="10"/>
    </row>
    <row r="381" spans="4:5" x14ac:dyDescent="0.15">
      <c r="D381" s="10"/>
      <c r="E381" s="10"/>
    </row>
    <row r="382" spans="4:5" x14ac:dyDescent="0.15">
      <c r="D382" s="10"/>
      <c r="E382" s="10"/>
    </row>
    <row r="383" spans="4:5" x14ac:dyDescent="0.15">
      <c r="D383" s="10"/>
      <c r="E383" s="10"/>
    </row>
    <row r="384" spans="4:5" x14ac:dyDescent="0.15">
      <c r="D384" s="10"/>
      <c r="E384" s="10"/>
    </row>
    <row r="385" spans="4:5" x14ac:dyDescent="0.15">
      <c r="D385" s="10"/>
      <c r="E385" s="10"/>
    </row>
    <row r="386" spans="4:5" x14ac:dyDescent="0.15">
      <c r="D386" s="10"/>
      <c r="E386" s="10"/>
    </row>
    <row r="387" spans="4:5" x14ac:dyDescent="0.15">
      <c r="D387" s="10"/>
      <c r="E387" s="10"/>
    </row>
    <row r="388" spans="4:5" x14ac:dyDescent="0.15">
      <c r="D388" s="10"/>
    </row>
    <row r="389" spans="4:5" x14ac:dyDescent="0.15">
      <c r="D389" s="10"/>
    </row>
    <row r="390" spans="4:5" x14ac:dyDescent="0.15">
      <c r="D390" s="10"/>
    </row>
    <row r="391" spans="4:5" x14ac:dyDescent="0.15">
      <c r="D391" s="10"/>
    </row>
    <row r="392" spans="4:5" x14ac:dyDescent="0.15">
      <c r="D392" s="10"/>
    </row>
    <row r="393" spans="4:5" x14ac:dyDescent="0.15">
      <c r="D393" s="10"/>
    </row>
    <row r="394" spans="4:5" x14ac:dyDescent="0.15">
      <c r="D394" s="10"/>
      <c r="E394" s="10"/>
    </row>
    <row r="395" spans="4:5" x14ac:dyDescent="0.15">
      <c r="D395" s="10"/>
      <c r="E395" s="10"/>
    </row>
    <row r="396" spans="4:5" x14ac:dyDescent="0.15">
      <c r="D396" s="10"/>
      <c r="E396" s="10"/>
    </row>
    <row r="397" spans="4:5" x14ac:dyDescent="0.15">
      <c r="D397" s="10"/>
      <c r="E397" s="10"/>
    </row>
    <row r="398" spans="4:5" x14ac:dyDescent="0.15">
      <c r="D398" s="10"/>
    </row>
    <row r="399" spans="4:5" x14ac:dyDescent="0.15">
      <c r="D399" s="10"/>
    </row>
    <row r="400" spans="4:5" x14ac:dyDescent="0.15">
      <c r="D400" s="10"/>
    </row>
    <row r="401" spans="4:5" x14ac:dyDescent="0.15">
      <c r="D401" s="10"/>
      <c r="E401" s="10"/>
    </row>
    <row r="402" spans="4:5" x14ac:dyDescent="0.15">
      <c r="D402" s="10"/>
      <c r="E402" s="10"/>
    </row>
    <row r="403" spans="4:5" x14ac:dyDescent="0.15">
      <c r="D403" s="10"/>
      <c r="E403" s="10"/>
    </row>
    <row r="404" spans="4:5" x14ac:dyDescent="0.15">
      <c r="D404" s="10"/>
      <c r="E404" s="10"/>
    </row>
    <row r="405" spans="4:5" x14ac:dyDescent="0.15">
      <c r="D405" s="10"/>
      <c r="E405" s="10"/>
    </row>
    <row r="406" spans="4:5" x14ac:dyDescent="0.15">
      <c r="D406" s="10"/>
      <c r="E406" s="10"/>
    </row>
    <row r="407" spans="4:5" x14ac:dyDescent="0.15">
      <c r="D407" s="10"/>
      <c r="E407" s="10"/>
    </row>
    <row r="408" spans="4:5" x14ac:dyDescent="0.15">
      <c r="D408" s="10"/>
    </row>
    <row r="409" spans="4:5" x14ac:dyDescent="0.15">
      <c r="D409" s="10"/>
    </row>
    <row r="410" spans="4:5" x14ac:dyDescent="0.15">
      <c r="D410" s="10"/>
    </row>
    <row r="411" spans="4:5" x14ac:dyDescent="0.15">
      <c r="D411" s="10"/>
    </row>
    <row r="412" spans="4:5" x14ac:dyDescent="0.15">
      <c r="D412" s="10"/>
    </row>
    <row r="413" spans="4:5" x14ac:dyDescent="0.15">
      <c r="D413" s="10"/>
    </row>
    <row r="414" spans="4:5" x14ac:dyDescent="0.15">
      <c r="D414" s="10"/>
      <c r="E414" s="10"/>
    </row>
    <row r="415" spans="4:5" x14ac:dyDescent="0.15">
      <c r="D415" s="10"/>
      <c r="E415" s="10"/>
    </row>
    <row r="416" spans="4:5" x14ac:dyDescent="0.15">
      <c r="D416" s="10"/>
      <c r="E416" s="10"/>
    </row>
    <row r="417" spans="4:5" x14ac:dyDescent="0.15">
      <c r="D417" s="10"/>
      <c r="E417" s="10"/>
    </row>
    <row r="418" spans="4:5" x14ac:dyDescent="0.15">
      <c r="D418" s="10"/>
    </row>
    <row r="419" spans="4:5" x14ac:dyDescent="0.15">
      <c r="D419" s="10"/>
    </row>
    <row r="420" spans="4:5" x14ac:dyDescent="0.15">
      <c r="D420" s="10"/>
    </row>
    <row r="421" spans="4:5" x14ac:dyDescent="0.15">
      <c r="D421" s="10"/>
      <c r="E421" s="10"/>
    </row>
    <row r="422" spans="4:5" x14ac:dyDescent="0.15">
      <c r="D422" s="10"/>
      <c r="E422" s="10"/>
    </row>
    <row r="423" spans="4:5" x14ac:dyDescent="0.15">
      <c r="D423" s="10"/>
      <c r="E423" s="10"/>
    </row>
    <row r="424" spans="4:5" x14ac:dyDescent="0.15">
      <c r="D424" s="10"/>
      <c r="E424" s="10"/>
    </row>
    <row r="425" spans="4:5" x14ac:dyDescent="0.15">
      <c r="D425" s="10"/>
      <c r="E425" s="10"/>
    </row>
    <row r="426" spans="4:5" x14ac:dyDescent="0.15">
      <c r="D426" s="10"/>
      <c r="E426" s="10"/>
    </row>
    <row r="427" spans="4:5" x14ac:dyDescent="0.15">
      <c r="D427" s="10"/>
      <c r="E427" s="10"/>
    </row>
    <row r="428" spans="4:5" x14ac:dyDescent="0.15">
      <c r="D428" s="10"/>
    </row>
    <row r="429" spans="4:5" x14ac:dyDescent="0.15">
      <c r="D429" s="10"/>
    </row>
    <row r="430" spans="4:5" x14ac:dyDescent="0.15">
      <c r="D430" s="10"/>
    </row>
    <row r="431" spans="4:5" x14ac:dyDescent="0.15">
      <c r="D431" s="10"/>
    </row>
    <row r="432" spans="4:5" x14ac:dyDescent="0.15">
      <c r="D432" s="10"/>
    </row>
    <row r="433" spans="4:5" x14ac:dyDescent="0.15">
      <c r="D433" s="10"/>
    </row>
    <row r="434" spans="4:5" x14ac:dyDescent="0.15">
      <c r="D434" s="10"/>
      <c r="E434" s="10"/>
    </row>
    <row r="435" spans="4:5" x14ac:dyDescent="0.15">
      <c r="D435" s="10"/>
      <c r="E435" s="10"/>
    </row>
    <row r="436" spans="4:5" x14ac:dyDescent="0.15">
      <c r="D436" s="10"/>
      <c r="E436" s="10"/>
    </row>
    <row r="437" spans="4:5" x14ac:dyDescent="0.15">
      <c r="D437" s="10"/>
      <c r="E437" s="10"/>
    </row>
    <row r="438" spans="4:5" x14ac:dyDescent="0.15">
      <c r="D438" s="10"/>
    </row>
    <row r="439" spans="4:5" x14ac:dyDescent="0.15">
      <c r="D439" s="10"/>
    </row>
    <row r="440" spans="4:5" x14ac:dyDescent="0.15">
      <c r="D440" s="10"/>
    </row>
    <row r="441" spans="4:5" x14ac:dyDescent="0.15">
      <c r="D441" s="10"/>
      <c r="E441" s="10"/>
    </row>
    <row r="442" spans="4:5" x14ac:dyDescent="0.15">
      <c r="D442" s="10"/>
      <c r="E442" s="10"/>
    </row>
    <row r="443" spans="4:5" x14ac:dyDescent="0.15">
      <c r="D443" s="10"/>
      <c r="E443" s="10"/>
    </row>
    <row r="444" spans="4:5" x14ac:dyDescent="0.15">
      <c r="D444" s="10"/>
      <c r="E444" s="10"/>
    </row>
    <row r="445" spans="4:5" x14ac:dyDescent="0.15">
      <c r="D445" s="10"/>
      <c r="E445" s="10"/>
    </row>
    <row r="446" spans="4:5" x14ac:dyDescent="0.15">
      <c r="D446" s="10"/>
      <c r="E446" s="10"/>
    </row>
    <row r="447" spans="4:5" x14ac:dyDescent="0.15">
      <c r="D447" s="10"/>
      <c r="E447" s="10"/>
    </row>
    <row r="448" spans="4:5" x14ac:dyDescent="0.15">
      <c r="D448" s="10"/>
    </row>
    <row r="449" spans="4:5" x14ac:dyDescent="0.15">
      <c r="D449" s="10"/>
    </row>
    <row r="450" spans="4:5" x14ac:dyDescent="0.15">
      <c r="D450" s="10"/>
    </row>
    <row r="451" spans="4:5" x14ac:dyDescent="0.15">
      <c r="D451" s="10"/>
    </row>
    <row r="452" spans="4:5" x14ac:dyDescent="0.15">
      <c r="D452" s="10"/>
    </row>
    <row r="453" spans="4:5" x14ac:dyDescent="0.15">
      <c r="D453" s="10"/>
    </row>
    <row r="454" spans="4:5" x14ac:dyDescent="0.15">
      <c r="D454" s="10"/>
      <c r="E454" s="10"/>
    </row>
    <row r="455" spans="4:5" x14ac:dyDescent="0.15">
      <c r="D455" s="10"/>
      <c r="E455" s="10"/>
    </row>
    <row r="456" spans="4:5" x14ac:dyDescent="0.15">
      <c r="D456" s="10"/>
      <c r="E456" s="10"/>
    </row>
    <row r="457" spans="4:5" x14ac:dyDescent="0.15">
      <c r="D457" s="10"/>
      <c r="E457" s="10"/>
    </row>
    <row r="458" spans="4:5" x14ac:dyDescent="0.15">
      <c r="D458" s="10"/>
    </row>
    <row r="459" spans="4:5" x14ac:dyDescent="0.15">
      <c r="D459" s="10"/>
    </row>
    <row r="460" spans="4:5" x14ac:dyDescent="0.15">
      <c r="D460" s="10"/>
    </row>
    <row r="461" spans="4:5" x14ac:dyDescent="0.15">
      <c r="D461" s="10"/>
      <c r="E461" s="10"/>
    </row>
    <row r="462" spans="4:5" x14ac:dyDescent="0.15">
      <c r="D462" s="10"/>
      <c r="E462" s="10"/>
    </row>
    <row r="463" spans="4:5" x14ac:dyDescent="0.15">
      <c r="D463" s="10"/>
      <c r="E463" s="10"/>
    </row>
    <row r="464" spans="4:5" x14ac:dyDescent="0.15">
      <c r="D464" s="10"/>
      <c r="E464" s="10"/>
    </row>
    <row r="465" spans="4:5" x14ac:dyDescent="0.15">
      <c r="D465" s="10"/>
      <c r="E465" s="10"/>
    </row>
    <row r="466" spans="4:5" x14ac:dyDescent="0.15">
      <c r="D466" s="10"/>
      <c r="E466" s="10"/>
    </row>
    <row r="467" spans="4:5" x14ac:dyDescent="0.15">
      <c r="D467" s="10"/>
      <c r="E467" s="10"/>
    </row>
    <row r="468" spans="4:5" x14ac:dyDescent="0.15">
      <c r="D468" s="10"/>
    </row>
    <row r="469" spans="4:5" x14ac:dyDescent="0.15">
      <c r="D469" s="10"/>
    </row>
    <row r="470" spans="4:5" x14ac:dyDescent="0.15">
      <c r="D470" s="10"/>
    </row>
    <row r="471" spans="4:5" x14ac:dyDescent="0.15">
      <c r="D471" s="10"/>
    </row>
    <row r="472" spans="4:5" x14ac:dyDescent="0.15">
      <c r="D472" s="10"/>
    </row>
    <row r="473" spans="4:5" x14ac:dyDescent="0.15">
      <c r="D473" s="10"/>
    </row>
    <row r="474" spans="4:5" x14ac:dyDescent="0.15">
      <c r="D474" s="10"/>
      <c r="E474" s="10"/>
    </row>
    <row r="475" spans="4:5" x14ac:dyDescent="0.15">
      <c r="D475" s="10"/>
      <c r="E475" s="10"/>
    </row>
    <row r="476" spans="4:5" x14ac:dyDescent="0.15">
      <c r="D476" s="10"/>
      <c r="E476" s="10"/>
    </row>
    <row r="477" spans="4:5" x14ac:dyDescent="0.15">
      <c r="D477" s="10"/>
      <c r="E477" s="10"/>
    </row>
    <row r="478" spans="4:5" x14ac:dyDescent="0.15">
      <c r="D478" s="10"/>
    </row>
    <row r="479" spans="4:5" x14ac:dyDescent="0.15">
      <c r="D479" s="10"/>
    </row>
    <row r="480" spans="4:5" x14ac:dyDescent="0.15">
      <c r="D480" s="10"/>
    </row>
    <row r="481" spans="4:5" x14ac:dyDescent="0.15">
      <c r="D481" s="10"/>
      <c r="E481" s="10"/>
    </row>
    <row r="482" spans="4:5" x14ac:dyDescent="0.15">
      <c r="D482" s="10"/>
      <c r="E482" s="10"/>
    </row>
    <row r="483" spans="4:5" x14ac:dyDescent="0.15">
      <c r="D483" s="10"/>
      <c r="E483" s="10"/>
    </row>
    <row r="484" spans="4:5" x14ac:dyDescent="0.15">
      <c r="D484" s="10"/>
      <c r="E484" s="10"/>
    </row>
    <row r="485" spans="4:5" x14ac:dyDescent="0.15">
      <c r="D485" s="10"/>
      <c r="E485" s="10"/>
    </row>
    <row r="486" spans="4:5" x14ac:dyDescent="0.15">
      <c r="D486" s="10"/>
      <c r="E486" s="10"/>
    </row>
    <row r="487" spans="4:5" x14ac:dyDescent="0.15">
      <c r="D487" s="10"/>
      <c r="E487" s="10"/>
    </row>
    <row r="488" spans="4:5" x14ac:dyDescent="0.15">
      <c r="D488" s="10"/>
    </row>
    <row r="489" spans="4:5" x14ac:dyDescent="0.15">
      <c r="D489" s="10"/>
    </row>
    <row r="490" spans="4:5" x14ac:dyDescent="0.15">
      <c r="D490" s="10"/>
    </row>
    <row r="491" spans="4:5" x14ac:dyDescent="0.15">
      <c r="D491" s="10"/>
    </row>
    <row r="492" spans="4:5" x14ac:dyDescent="0.15">
      <c r="D492" s="10"/>
    </row>
    <row r="493" spans="4:5" x14ac:dyDescent="0.15">
      <c r="D493" s="10"/>
    </row>
    <row r="494" spans="4:5" x14ac:dyDescent="0.15">
      <c r="D494" s="10"/>
      <c r="E494" s="10"/>
    </row>
    <row r="495" spans="4:5" x14ac:dyDescent="0.15">
      <c r="D495" s="10"/>
      <c r="E495" s="10"/>
    </row>
    <row r="496" spans="4:5" x14ac:dyDescent="0.15">
      <c r="D496" s="10"/>
      <c r="E496" s="10"/>
    </row>
    <row r="497" spans="4:5" x14ac:dyDescent="0.15">
      <c r="D497" s="10"/>
      <c r="E497" s="10"/>
    </row>
    <row r="498" spans="4:5" x14ac:dyDescent="0.15">
      <c r="D498" s="10"/>
    </row>
    <row r="499" spans="4:5" x14ac:dyDescent="0.15">
      <c r="D499" s="10"/>
    </row>
    <row r="500" spans="4:5" x14ac:dyDescent="0.15">
      <c r="D500" s="10"/>
    </row>
    <row r="501" spans="4:5" x14ac:dyDescent="0.15">
      <c r="D501" s="10"/>
      <c r="E501" s="10"/>
    </row>
    <row r="502" spans="4:5" x14ac:dyDescent="0.15">
      <c r="D502" s="10"/>
      <c r="E502" s="10"/>
    </row>
    <row r="503" spans="4:5" x14ac:dyDescent="0.15">
      <c r="D503" s="10"/>
      <c r="E503" s="10"/>
    </row>
    <row r="504" spans="4:5" x14ac:dyDescent="0.15">
      <c r="D504" s="10"/>
      <c r="E504" s="10"/>
    </row>
    <row r="505" spans="4:5" x14ac:dyDescent="0.15">
      <c r="D505" s="10"/>
      <c r="E505" s="10"/>
    </row>
    <row r="506" spans="4:5" x14ac:dyDescent="0.15">
      <c r="D506" s="10"/>
      <c r="E506" s="10"/>
    </row>
    <row r="507" spans="4:5" x14ac:dyDescent="0.15">
      <c r="D507" s="10"/>
      <c r="E507" s="10"/>
    </row>
    <row r="508" spans="4:5" x14ac:dyDescent="0.15">
      <c r="D508" s="10"/>
    </row>
    <row r="509" spans="4:5" x14ac:dyDescent="0.15">
      <c r="D509" s="10"/>
    </row>
    <row r="510" spans="4:5" x14ac:dyDescent="0.15">
      <c r="D510" s="10"/>
    </row>
    <row r="511" spans="4:5" x14ac:dyDescent="0.15">
      <c r="D511" s="10"/>
    </row>
    <row r="512" spans="4:5" x14ac:dyDescent="0.15">
      <c r="D512" s="10"/>
    </row>
    <row r="513" spans="4:5" x14ac:dyDescent="0.15">
      <c r="D513" s="10"/>
    </row>
    <row r="514" spans="4:5" x14ac:dyDescent="0.15">
      <c r="D514" s="10"/>
      <c r="E514" s="10"/>
    </row>
    <row r="515" spans="4:5" x14ac:dyDescent="0.15">
      <c r="D515" s="10"/>
      <c r="E515" s="10"/>
    </row>
    <row r="516" spans="4:5" x14ac:dyDescent="0.15">
      <c r="D516" s="10"/>
      <c r="E516" s="10"/>
    </row>
    <row r="517" spans="4:5" x14ac:dyDescent="0.15">
      <c r="D517" s="10"/>
      <c r="E517" s="10"/>
    </row>
    <row r="518" spans="4:5" x14ac:dyDescent="0.15">
      <c r="D518" s="10"/>
    </row>
    <row r="519" spans="4:5" x14ac:dyDescent="0.15">
      <c r="D519" s="10"/>
    </row>
    <row r="520" spans="4:5" x14ac:dyDescent="0.15">
      <c r="D520" s="10"/>
    </row>
    <row r="521" spans="4:5" x14ac:dyDescent="0.15">
      <c r="D521" s="10"/>
      <c r="E521" s="10"/>
    </row>
    <row r="522" spans="4:5" x14ac:dyDescent="0.15">
      <c r="D522" s="10"/>
      <c r="E522" s="10"/>
    </row>
    <row r="523" spans="4:5" x14ac:dyDescent="0.15">
      <c r="D523" s="10"/>
      <c r="E523" s="10"/>
    </row>
    <row r="524" spans="4:5" x14ac:dyDescent="0.15">
      <c r="D524" s="10"/>
      <c r="E524" s="10"/>
    </row>
    <row r="525" spans="4:5" x14ac:dyDescent="0.15">
      <c r="D525" s="10"/>
      <c r="E525" s="10"/>
    </row>
    <row r="526" spans="4:5" x14ac:dyDescent="0.15">
      <c r="D526" s="10"/>
      <c r="E526" s="10"/>
    </row>
    <row r="527" spans="4:5" x14ac:dyDescent="0.15">
      <c r="D527" s="10"/>
      <c r="E527" s="10"/>
    </row>
    <row r="528" spans="4:5" x14ac:dyDescent="0.15">
      <c r="D528" s="10"/>
    </row>
    <row r="529" spans="4:5" x14ac:dyDescent="0.15">
      <c r="D529" s="10"/>
    </row>
    <row r="530" spans="4:5" x14ac:dyDescent="0.15">
      <c r="D530" s="10"/>
    </row>
    <row r="531" spans="4:5" x14ac:dyDescent="0.15">
      <c r="D531" s="10"/>
    </row>
    <row r="532" spans="4:5" x14ac:dyDescent="0.15">
      <c r="D532" s="10"/>
    </row>
    <row r="533" spans="4:5" x14ac:dyDescent="0.15">
      <c r="D533" s="10"/>
    </row>
    <row r="534" spans="4:5" x14ac:dyDescent="0.15">
      <c r="D534" s="10"/>
      <c r="E534" s="10"/>
    </row>
    <row r="535" spans="4:5" x14ac:dyDescent="0.15">
      <c r="D535" s="10"/>
      <c r="E535" s="10"/>
    </row>
    <row r="536" spans="4:5" x14ac:dyDescent="0.15">
      <c r="D536" s="10"/>
      <c r="E536" s="10"/>
    </row>
    <row r="537" spans="4:5" x14ac:dyDescent="0.15">
      <c r="D537" s="10"/>
      <c r="E537" s="10"/>
    </row>
    <row r="538" spans="4:5" x14ac:dyDescent="0.15">
      <c r="D538" s="10"/>
    </row>
    <row r="539" spans="4:5" x14ac:dyDescent="0.15">
      <c r="D539" s="10"/>
    </row>
    <row r="540" spans="4:5" x14ac:dyDescent="0.15">
      <c r="D540" s="10"/>
    </row>
    <row r="541" spans="4:5" x14ac:dyDescent="0.15">
      <c r="D541" s="10"/>
      <c r="E541" s="10"/>
    </row>
    <row r="542" spans="4:5" x14ac:dyDescent="0.15">
      <c r="D542" s="10"/>
      <c r="E542" s="10"/>
    </row>
    <row r="543" spans="4:5" x14ac:dyDescent="0.15">
      <c r="D543" s="10"/>
      <c r="E543" s="10"/>
    </row>
    <row r="544" spans="4:5" x14ac:dyDescent="0.15">
      <c r="D544" s="10"/>
      <c r="E544" s="10"/>
    </row>
    <row r="545" spans="4:5" x14ac:dyDescent="0.15">
      <c r="D545" s="10"/>
      <c r="E545" s="10"/>
    </row>
    <row r="546" spans="4:5" x14ac:dyDescent="0.15">
      <c r="D546" s="10"/>
      <c r="E546" s="10"/>
    </row>
    <row r="547" spans="4:5" x14ac:dyDescent="0.15">
      <c r="D547" s="10"/>
      <c r="E547" s="10"/>
    </row>
    <row r="548" spans="4:5" x14ac:dyDescent="0.15">
      <c r="D548" s="10"/>
    </row>
    <row r="549" spans="4:5" x14ac:dyDescent="0.15">
      <c r="D549" s="10"/>
    </row>
    <row r="550" spans="4:5" x14ac:dyDescent="0.15">
      <c r="D550" s="10"/>
    </row>
    <row r="551" spans="4:5" x14ac:dyDescent="0.15">
      <c r="D551" s="10"/>
    </row>
    <row r="552" spans="4:5" x14ac:dyDescent="0.15">
      <c r="D552" s="10"/>
    </row>
    <row r="553" spans="4:5" x14ac:dyDescent="0.15">
      <c r="D553" s="10"/>
    </row>
    <row r="554" spans="4:5" x14ac:dyDescent="0.15">
      <c r="D554" s="10"/>
      <c r="E554" s="10"/>
    </row>
    <row r="555" spans="4:5" x14ac:dyDescent="0.15">
      <c r="D555" s="10"/>
      <c r="E555" s="10"/>
    </row>
    <row r="556" spans="4:5" x14ac:dyDescent="0.15">
      <c r="D556" s="10"/>
      <c r="E556" s="10"/>
    </row>
    <row r="557" spans="4:5" x14ac:dyDescent="0.15">
      <c r="D557" s="10"/>
      <c r="E557" s="10"/>
    </row>
    <row r="558" spans="4:5" x14ac:dyDescent="0.15">
      <c r="D558" s="10"/>
    </row>
    <row r="559" spans="4:5" x14ac:dyDescent="0.15">
      <c r="D559" s="10"/>
    </row>
    <row r="560" spans="4:5" x14ac:dyDescent="0.15">
      <c r="D560" s="10"/>
    </row>
    <row r="561" spans="4:5" x14ac:dyDescent="0.15">
      <c r="D561" s="10"/>
      <c r="E561" s="10"/>
    </row>
    <row r="562" spans="4:5" x14ac:dyDescent="0.15">
      <c r="D562" s="10"/>
      <c r="E562" s="10"/>
    </row>
    <row r="563" spans="4:5" x14ac:dyDescent="0.15">
      <c r="D563" s="10"/>
      <c r="E563" s="10"/>
    </row>
    <row r="564" spans="4:5" x14ac:dyDescent="0.15">
      <c r="D564" s="10"/>
      <c r="E564" s="10"/>
    </row>
    <row r="565" spans="4:5" x14ac:dyDescent="0.15">
      <c r="D565" s="10"/>
      <c r="E565" s="10"/>
    </row>
    <row r="566" spans="4:5" x14ac:dyDescent="0.15">
      <c r="D566" s="10"/>
      <c r="E566" s="10"/>
    </row>
    <row r="567" spans="4:5" x14ac:dyDescent="0.15">
      <c r="D567" s="10"/>
      <c r="E567" s="10"/>
    </row>
    <row r="568" spans="4:5" x14ac:dyDescent="0.15">
      <c r="D568" s="10"/>
    </row>
    <row r="569" spans="4:5" x14ac:dyDescent="0.15">
      <c r="D569" s="10"/>
    </row>
    <row r="570" spans="4:5" x14ac:dyDescent="0.15">
      <c r="D570" s="10"/>
    </row>
    <row r="571" spans="4:5" x14ac:dyDescent="0.15">
      <c r="D571" s="10"/>
    </row>
    <row r="572" spans="4:5" x14ac:dyDescent="0.15">
      <c r="D572" s="10"/>
    </row>
    <row r="573" spans="4:5" x14ac:dyDescent="0.15">
      <c r="D573" s="10"/>
    </row>
    <row r="574" spans="4:5" x14ac:dyDescent="0.15">
      <c r="D574" s="10"/>
      <c r="E574" s="10"/>
    </row>
    <row r="575" spans="4:5" x14ac:dyDescent="0.15">
      <c r="D575" s="10"/>
      <c r="E575" s="10"/>
    </row>
    <row r="576" spans="4:5" x14ac:dyDescent="0.15">
      <c r="D576" s="10"/>
      <c r="E576" s="10"/>
    </row>
    <row r="577" spans="4:5" x14ac:dyDescent="0.15">
      <c r="D577" s="10"/>
      <c r="E577" s="10"/>
    </row>
    <row r="578" spans="4:5" x14ac:dyDescent="0.15">
      <c r="D578" s="10"/>
    </row>
    <row r="579" spans="4:5" x14ac:dyDescent="0.15">
      <c r="D579" s="10"/>
    </row>
    <row r="580" spans="4:5" x14ac:dyDescent="0.15">
      <c r="D580" s="10"/>
    </row>
    <row r="581" spans="4:5" x14ac:dyDescent="0.15">
      <c r="D581" s="10"/>
      <c r="E581" s="10"/>
    </row>
    <row r="582" spans="4:5" x14ac:dyDescent="0.15">
      <c r="D582" s="10"/>
      <c r="E582" s="10"/>
    </row>
    <row r="583" spans="4:5" x14ac:dyDescent="0.15">
      <c r="D583" s="10"/>
      <c r="E583" s="10"/>
    </row>
    <row r="584" spans="4:5" x14ac:dyDescent="0.15">
      <c r="D584" s="10"/>
      <c r="E584" s="10"/>
    </row>
    <row r="585" spans="4:5" x14ac:dyDescent="0.15">
      <c r="D585" s="10"/>
      <c r="E585" s="10"/>
    </row>
    <row r="586" spans="4:5" x14ac:dyDescent="0.15">
      <c r="D586" s="10"/>
      <c r="E586" s="10"/>
    </row>
    <row r="587" spans="4:5" x14ac:dyDescent="0.15">
      <c r="D587" s="10"/>
      <c r="E587" s="10"/>
    </row>
    <row r="588" spans="4:5" x14ac:dyDescent="0.15">
      <c r="D588" s="10"/>
    </row>
    <row r="589" spans="4:5" x14ac:dyDescent="0.15">
      <c r="D589" s="10"/>
    </row>
    <row r="590" spans="4:5" x14ac:dyDescent="0.15">
      <c r="D590" s="10"/>
    </row>
    <row r="591" spans="4:5" x14ac:dyDescent="0.15">
      <c r="D591" s="10"/>
    </row>
    <row r="592" spans="4:5" x14ac:dyDescent="0.15">
      <c r="D592" s="10"/>
    </row>
    <row r="593" spans="4:5" x14ac:dyDescent="0.15">
      <c r="D593" s="10"/>
    </row>
    <row r="594" spans="4:5" x14ac:dyDescent="0.15">
      <c r="D594" s="10"/>
      <c r="E594" s="10"/>
    </row>
    <row r="595" spans="4:5" x14ac:dyDescent="0.15">
      <c r="D595" s="10"/>
      <c r="E595" s="10"/>
    </row>
    <row r="596" spans="4:5" x14ac:dyDescent="0.15">
      <c r="D596" s="10"/>
      <c r="E596" s="10"/>
    </row>
    <row r="597" spans="4:5" x14ac:dyDescent="0.15">
      <c r="D597" s="10"/>
      <c r="E597" s="10"/>
    </row>
    <row r="598" spans="4:5" x14ac:dyDescent="0.15">
      <c r="D598" s="10"/>
    </row>
    <row r="599" spans="4:5" x14ac:dyDescent="0.15">
      <c r="D599" s="10"/>
    </row>
    <row r="600" spans="4:5" x14ac:dyDescent="0.15">
      <c r="D600" s="10"/>
    </row>
    <row r="601" spans="4:5" x14ac:dyDescent="0.15">
      <c r="D601" s="10"/>
      <c r="E601" s="10"/>
    </row>
    <row r="602" spans="4:5" x14ac:dyDescent="0.15">
      <c r="D602" s="10"/>
      <c r="E602" s="10"/>
    </row>
    <row r="603" spans="4:5" x14ac:dyDescent="0.15">
      <c r="D603" s="10"/>
      <c r="E603" s="10"/>
    </row>
    <row r="604" spans="4:5" x14ac:dyDescent="0.15">
      <c r="D604" s="10"/>
      <c r="E604" s="10"/>
    </row>
    <row r="605" spans="4:5" x14ac:dyDescent="0.15">
      <c r="D605" s="10"/>
      <c r="E605" s="10"/>
    </row>
    <row r="606" spans="4:5" x14ac:dyDescent="0.15">
      <c r="D606" s="10"/>
      <c r="E606" s="10"/>
    </row>
    <row r="607" spans="4:5" x14ac:dyDescent="0.15">
      <c r="D607" s="10"/>
      <c r="E607" s="10"/>
    </row>
    <row r="608" spans="4:5" x14ac:dyDescent="0.15">
      <c r="D608" s="10"/>
    </row>
    <row r="609" spans="4:5" x14ac:dyDescent="0.15">
      <c r="D609" s="10"/>
    </row>
    <row r="610" spans="4:5" x14ac:dyDescent="0.15">
      <c r="D610" s="10"/>
    </row>
    <row r="611" spans="4:5" x14ac:dyDescent="0.15">
      <c r="D611" s="10"/>
    </row>
    <row r="612" spans="4:5" x14ac:dyDescent="0.15">
      <c r="D612" s="10"/>
    </row>
    <row r="613" spans="4:5" x14ac:dyDescent="0.15">
      <c r="D613" s="10"/>
    </row>
    <row r="614" spans="4:5" x14ac:dyDescent="0.15">
      <c r="D614" s="10"/>
      <c r="E614" s="10"/>
    </row>
    <row r="615" spans="4:5" x14ac:dyDescent="0.15">
      <c r="D615" s="10"/>
      <c r="E615" s="10"/>
    </row>
    <row r="616" spans="4:5" x14ac:dyDescent="0.15">
      <c r="D616" s="10"/>
      <c r="E616" s="10"/>
    </row>
    <row r="617" spans="4:5" x14ac:dyDescent="0.15">
      <c r="D617" s="10"/>
      <c r="E617" s="10"/>
    </row>
    <row r="618" spans="4:5" x14ac:dyDescent="0.15">
      <c r="D618" s="10"/>
    </row>
    <row r="619" spans="4:5" x14ac:dyDescent="0.15">
      <c r="D619" s="10"/>
    </row>
    <row r="620" spans="4:5" x14ac:dyDescent="0.15">
      <c r="D620" s="10"/>
    </row>
    <row r="621" spans="4:5" x14ac:dyDescent="0.15">
      <c r="D621" s="10"/>
      <c r="E621" s="10"/>
    </row>
    <row r="622" spans="4:5" x14ac:dyDescent="0.15">
      <c r="D622" s="10"/>
      <c r="E622" s="10"/>
    </row>
    <row r="623" spans="4:5" x14ac:dyDescent="0.15">
      <c r="D623" s="10"/>
      <c r="E623" s="10"/>
    </row>
    <row r="624" spans="4:5" x14ac:dyDescent="0.15">
      <c r="D624" s="10"/>
      <c r="E624" s="10"/>
    </row>
    <row r="625" spans="4:5" x14ac:dyDescent="0.15">
      <c r="D625" s="10"/>
      <c r="E625" s="10"/>
    </row>
    <row r="626" spans="4:5" x14ac:dyDescent="0.15">
      <c r="D626" s="10"/>
      <c r="E626" s="10"/>
    </row>
    <row r="627" spans="4:5" x14ac:dyDescent="0.15">
      <c r="D627" s="10"/>
      <c r="E627" s="10"/>
    </row>
    <row r="628" spans="4:5" x14ac:dyDescent="0.15">
      <c r="D628" s="10"/>
    </row>
    <row r="629" spans="4:5" x14ac:dyDescent="0.15">
      <c r="D629" s="10"/>
    </row>
    <row r="630" spans="4:5" x14ac:dyDescent="0.15">
      <c r="D630" s="10"/>
    </row>
    <row r="631" spans="4:5" x14ac:dyDescent="0.15">
      <c r="D631" s="10"/>
    </row>
    <row r="632" spans="4:5" x14ac:dyDescent="0.15">
      <c r="D632" s="10"/>
    </row>
    <row r="633" spans="4:5" x14ac:dyDescent="0.15">
      <c r="D633" s="10"/>
    </row>
    <row r="634" spans="4:5" x14ac:dyDescent="0.15">
      <c r="D634" s="10"/>
      <c r="E634" s="10"/>
    </row>
    <row r="635" spans="4:5" x14ac:dyDescent="0.15">
      <c r="D635" s="10"/>
      <c r="E635" s="10"/>
    </row>
    <row r="636" spans="4:5" x14ac:dyDescent="0.15">
      <c r="D636" s="10"/>
      <c r="E636" s="10"/>
    </row>
    <row r="637" spans="4:5" x14ac:dyDescent="0.15">
      <c r="D637" s="10"/>
      <c r="E637" s="10"/>
    </row>
    <row r="638" spans="4:5" x14ac:dyDescent="0.15">
      <c r="D638" s="10"/>
    </row>
    <row r="639" spans="4:5" x14ac:dyDescent="0.15">
      <c r="D639" s="10"/>
    </row>
    <row r="640" spans="4:5" x14ac:dyDescent="0.15">
      <c r="D640" s="10"/>
    </row>
    <row r="641" spans="4:5" x14ac:dyDescent="0.15">
      <c r="D641" s="10"/>
      <c r="E641" s="10"/>
    </row>
    <row r="642" spans="4:5" x14ac:dyDescent="0.15">
      <c r="D642" s="10"/>
      <c r="E642" s="10"/>
    </row>
    <row r="643" spans="4:5" x14ac:dyDescent="0.15">
      <c r="D643" s="10"/>
      <c r="E643" s="10"/>
    </row>
    <row r="644" spans="4:5" x14ac:dyDescent="0.15">
      <c r="D644" s="10"/>
      <c r="E644" s="10"/>
    </row>
    <row r="645" spans="4:5" x14ac:dyDescent="0.15">
      <c r="D645" s="10"/>
      <c r="E645" s="10"/>
    </row>
    <row r="646" spans="4:5" x14ac:dyDescent="0.15">
      <c r="D646" s="10"/>
      <c r="E646" s="10"/>
    </row>
    <row r="647" spans="4:5" x14ac:dyDescent="0.15">
      <c r="D647" s="10"/>
      <c r="E647" s="10"/>
    </row>
    <row r="648" spans="4:5" x14ac:dyDescent="0.15">
      <c r="D648" s="10"/>
    </row>
    <row r="649" spans="4:5" x14ac:dyDescent="0.15">
      <c r="D649" s="10"/>
    </row>
    <row r="650" spans="4:5" x14ac:dyDescent="0.15">
      <c r="D650" s="10"/>
    </row>
    <row r="651" spans="4:5" x14ac:dyDescent="0.15">
      <c r="D651" s="10"/>
    </row>
    <row r="652" spans="4:5" x14ac:dyDescent="0.15">
      <c r="D652" s="10"/>
    </row>
    <row r="653" spans="4:5" x14ac:dyDescent="0.15">
      <c r="D653" s="10"/>
    </row>
    <row r="654" spans="4:5" x14ac:dyDescent="0.15">
      <c r="D654" s="10"/>
      <c r="E654" s="10"/>
    </row>
    <row r="655" spans="4:5" x14ac:dyDescent="0.15">
      <c r="D655" s="10"/>
      <c r="E655" s="10"/>
    </row>
    <row r="656" spans="4:5" x14ac:dyDescent="0.15">
      <c r="D656" s="10"/>
      <c r="E656" s="10"/>
    </row>
    <row r="657" spans="4:5" x14ac:dyDescent="0.15">
      <c r="D657" s="10"/>
      <c r="E657" s="10"/>
    </row>
    <row r="658" spans="4:5" x14ac:dyDescent="0.15">
      <c r="D658" s="10"/>
    </row>
    <row r="659" spans="4:5" x14ac:dyDescent="0.15">
      <c r="D659" s="10"/>
    </row>
    <row r="660" spans="4:5" x14ac:dyDescent="0.15">
      <c r="D660" s="10"/>
    </row>
    <row r="661" spans="4:5" x14ac:dyDescent="0.15">
      <c r="D661" s="10"/>
      <c r="E661" s="10"/>
    </row>
    <row r="662" spans="4:5" x14ac:dyDescent="0.15">
      <c r="D662" s="10"/>
      <c r="E662" s="10"/>
    </row>
    <row r="663" spans="4:5" x14ac:dyDescent="0.15">
      <c r="D663" s="10"/>
      <c r="E663" s="10"/>
    </row>
    <row r="664" spans="4:5" x14ac:dyDescent="0.15">
      <c r="D664" s="10"/>
      <c r="E664" s="10"/>
    </row>
    <row r="665" spans="4:5" x14ac:dyDescent="0.15">
      <c r="D665" s="10"/>
      <c r="E665" s="10"/>
    </row>
    <row r="666" spans="4:5" x14ac:dyDescent="0.15">
      <c r="D666" s="10"/>
      <c r="E666" s="10"/>
    </row>
    <row r="667" spans="4:5" x14ac:dyDescent="0.15">
      <c r="D667" s="10"/>
      <c r="E667" s="10"/>
    </row>
    <row r="668" spans="4:5" x14ac:dyDescent="0.15">
      <c r="D668" s="10"/>
    </row>
    <row r="669" spans="4:5" x14ac:dyDescent="0.15">
      <c r="D669" s="10"/>
    </row>
    <row r="670" spans="4:5" x14ac:dyDescent="0.15">
      <c r="D670" s="10"/>
    </row>
    <row r="671" spans="4:5" x14ac:dyDescent="0.15">
      <c r="D671" s="10"/>
    </row>
    <row r="672" spans="4:5" x14ac:dyDescent="0.15">
      <c r="D672" s="10"/>
    </row>
    <row r="673" spans="4:5" x14ac:dyDescent="0.15">
      <c r="D673" s="10"/>
    </row>
    <row r="674" spans="4:5" x14ac:dyDescent="0.15">
      <c r="D674" s="10"/>
      <c r="E674" s="10"/>
    </row>
    <row r="675" spans="4:5" x14ac:dyDescent="0.15">
      <c r="D675" s="10"/>
      <c r="E675" s="10"/>
    </row>
    <row r="676" spans="4:5" x14ac:dyDescent="0.15">
      <c r="D676" s="10"/>
      <c r="E676" s="10"/>
    </row>
    <row r="677" spans="4:5" x14ac:dyDescent="0.15">
      <c r="D677" s="10"/>
      <c r="E677" s="10"/>
    </row>
    <row r="678" spans="4:5" x14ac:dyDescent="0.15">
      <c r="D678" s="10"/>
    </row>
    <row r="679" spans="4:5" x14ac:dyDescent="0.15">
      <c r="D679" s="10"/>
    </row>
    <row r="680" spans="4:5" x14ac:dyDescent="0.15">
      <c r="D680" s="10"/>
    </row>
    <row r="681" spans="4:5" x14ac:dyDescent="0.15">
      <c r="D681" s="10"/>
      <c r="E681" s="10"/>
    </row>
    <row r="682" spans="4:5" x14ac:dyDescent="0.15">
      <c r="D682" s="10"/>
      <c r="E682" s="10"/>
    </row>
    <row r="683" spans="4:5" x14ac:dyDescent="0.15">
      <c r="D683" s="10"/>
      <c r="E683" s="10"/>
    </row>
  </sheetData>
  <phoneticPr fontId="3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6326" r:id="rId4" name="cmd_Back">
          <controlPr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56326" r:id="rId4" name="cmd_Back"/>
      </mc:Fallback>
    </mc:AlternateContent>
    <mc:AlternateContent xmlns:mc="http://schemas.openxmlformats.org/markup-compatibility/2006">
      <mc:Choice Requires="x14">
        <control shapeId="56321" r:id="rId6" name="cmd_Post">
          <controlPr autoLine="0" r:id="rId7">
            <anchor moveWithCells="1">
              <from>
                <xdr:col>3</xdr:col>
                <xdr:colOff>47625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228600</xdr:rowOff>
              </to>
            </anchor>
          </controlPr>
        </control>
      </mc:Choice>
      <mc:Fallback>
        <control shapeId="56321" r:id="rId6" name="cmd_Post"/>
      </mc:Fallback>
    </mc:AlternateContent>
    <mc:AlternateContent xmlns:mc="http://schemas.openxmlformats.org/markup-compatibility/2006">
      <mc:Choice Requires="x14">
        <control shapeId="56323" r:id="rId8" name="cmd_Check">
          <controlPr autoLine="0" r:id="rId9">
            <anchor moveWithCells="1">
              <from>
                <xdr:col>1</xdr:col>
                <xdr:colOff>409575</xdr:colOff>
                <xdr:row>0</xdr:row>
                <xdr:rowOff>0</xdr:rowOff>
              </from>
              <to>
                <xdr:col>2</xdr:col>
                <xdr:colOff>428625</xdr:colOff>
                <xdr:row>0</xdr:row>
                <xdr:rowOff>228600</xdr:rowOff>
              </to>
            </anchor>
          </controlPr>
        </control>
      </mc:Choice>
      <mc:Fallback>
        <control shapeId="56323" r:id="rId8" name="cmd_Check"/>
      </mc:Fallback>
    </mc:AlternateContent>
    <mc:AlternateContent xmlns:mc="http://schemas.openxmlformats.org/markup-compatibility/2006">
      <mc:Choice Requires="x14">
        <control shapeId="56327" r:id="rId10" name="cmd_setColor">
          <controlPr autoLine="0" r:id="rId11">
            <anchor moveWithCells="1">
              <from>
                <xdr:col>4</xdr:col>
                <xdr:colOff>19050</xdr:colOff>
                <xdr:row>0</xdr:row>
                <xdr:rowOff>0</xdr:rowOff>
              </from>
              <to>
                <xdr:col>5</xdr:col>
                <xdr:colOff>209550</xdr:colOff>
                <xdr:row>0</xdr:row>
                <xdr:rowOff>228600</xdr:rowOff>
              </to>
            </anchor>
          </controlPr>
        </control>
      </mc:Choice>
      <mc:Fallback>
        <control shapeId="56327" r:id="rId10" name="cmd_setColor"/>
      </mc:Fallback>
    </mc:AlternateContent>
    <mc:AlternateContent xmlns:mc="http://schemas.openxmlformats.org/markup-compatibility/2006">
      <mc:Choice Requires="x14">
        <control shapeId="56330" r:id="rId12" name="btn_Sort">
          <controlPr autoLine="0" r:id="rId13">
            <anchor moveWithCells="1">
              <from>
                <xdr:col>5</xdr:col>
                <xdr:colOff>381000</xdr:colOff>
                <xdr:row>0</xdr:row>
                <xdr:rowOff>0</xdr:rowOff>
              </from>
              <to>
                <xdr:col>7</xdr:col>
                <xdr:colOff>200025</xdr:colOff>
                <xdr:row>0</xdr:row>
                <xdr:rowOff>228600</xdr:rowOff>
              </to>
            </anchor>
          </controlPr>
        </control>
      </mc:Choice>
      <mc:Fallback>
        <control shapeId="56330" r:id="rId12" name="btn_Sor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B3FB7-E3C4-4183-85FD-B60EDCF0B454}">
  <sheetPr codeName="Sheet18"/>
  <dimension ref="B2:D11"/>
  <sheetViews>
    <sheetView workbookViewId="0">
      <selection activeCell="D11" sqref="D11"/>
    </sheetView>
  </sheetViews>
  <sheetFormatPr defaultRowHeight="13.5" x14ac:dyDescent="0.15"/>
  <sheetData>
    <row r="2" spans="2:4" x14ac:dyDescent="0.15">
      <c r="B2">
        <v>300</v>
      </c>
    </row>
    <row r="11" spans="2:4" x14ac:dyDescent="0.15">
      <c r="D11">
        <f ca="1">jf("1001",2019,1)</f>
        <v>0</v>
      </c>
    </row>
  </sheetData>
  <phoneticPr fontId="4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9</xdr:col>
                <xdr:colOff>247650</xdr:colOff>
                <xdr:row>2</xdr:row>
                <xdr:rowOff>76200</xdr:rowOff>
              </from>
              <to>
                <xdr:col>10</xdr:col>
                <xdr:colOff>476250</xdr:colOff>
                <xdr:row>4</xdr:row>
                <xdr:rowOff>38100</xdr:rowOff>
              </to>
            </anchor>
          </controlPr>
        </control>
      </mc:Choice>
      <mc:Fallback>
        <control shapeId="8704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K14"/>
  <sheetViews>
    <sheetView showGridLines="0" workbookViewId="0">
      <selection activeCell="A15" sqref="A15:XFD2000"/>
    </sheetView>
  </sheetViews>
  <sheetFormatPr defaultRowHeight="13.5" x14ac:dyDescent="0.15"/>
  <cols>
    <col min="1" max="1" width="5.625" customWidth="1"/>
    <col min="2" max="11" width="8.625" customWidth="1"/>
  </cols>
  <sheetData>
    <row r="1" spans="1:11" ht="24" customHeight="1" x14ac:dyDescent="0.15">
      <c r="B1" s="23"/>
      <c r="D1" s="297" t="s">
        <v>0</v>
      </c>
      <c r="E1" s="297"/>
      <c r="F1" s="297"/>
      <c r="G1" s="297"/>
      <c r="H1" s="297"/>
      <c r="I1" s="173"/>
      <c r="J1" s="1"/>
      <c r="K1" s="123"/>
    </row>
    <row r="2" spans="1:11" ht="15.95" customHeight="1" x14ac:dyDescent="0.15">
      <c r="D2" s="3" t="s">
        <v>6</v>
      </c>
      <c r="E2" s="258"/>
      <c r="F2" s="258"/>
      <c r="G2" s="258"/>
      <c r="J2" s="117"/>
      <c r="K2" s="123"/>
    </row>
    <row r="3" spans="1:11" ht="15.95" customHeight="1" x14ac:dyDescent="0.15">
      <c r="B3" s="174" t="s">
        <v>757</v>
      </c>
      <c r="C3" s="1" t="str">
        <f>单位名称</f>
        <v>浙江晴天服饰有限公司</v>
      </c>
      <c r="D3" s="1"/>
      <c r="E3" s="1"/>
      <c r="F3" s="1"/>
      <c r="G3" s="1"/>
      <c r="J3" s="117" t="s">
        <v>5</v>
      </c>
      <c r="K3" s="123"/>
    </row>
    <row r="4" spans="1:11" ht="36" customHeight="1" x14ac:dyDescent="0.15">
      <c r="A4" s="289" t="s">
        <v>754</v>
      </c>
      <c r="B4" s="290"/>
      <c r="C4" s="291"/>
      <c r="D4" s="289" t="s">
        <v>753</v>
      </c>
      <c r="E4" s="290"/>
      <c r="F4" s="290"/>
      <c r="G4" s="291"/>
      <c r="H4" s="289" t="s">
        <v>755</v>
      </c>
      <c r="I4" s="291"/>
      <c r="J4" s="289" t="s">
        <v>756</v>
      </c>
      <c r="K4" s="291"/>
    </row>
    <row r="5" spans="1:11" ht="20.100000000000001" customHeight="1" x14ac:dyDescent="0.15">
      <c r="A5" s="281"/>
      <c r="B5" s="282"/>
      <c r="C5" s="283"/>
      <c r="D5" s="284"/>
      <c r="E5" s="285"/>
      <c r="F5" s="285"/>
      <c r="G5" s="286"/>
      <c r="H5" s="287"/>
      <c r="I5" s="288"/>
      <c r="J5" s="287"/>
      <c r="K5" s="288"/>
    </row>
    <row r="6" spans="1:11" ht="20.100000000000001" customHeight="1" x14ac:dyDescent="0.15">
      <c r="A6" s="281"/>
      <c r="B6" s="282"/>
      <c r="C6" s="283"/>
      <c r="D6" s="284"/>
      <c r="E6" s="285"/>
      <c r="F6" s="285"/>
      <c r="G6" s="286"/>
      <c r="H6" s="287"/>
      <c r="I6" s="288"/>
      <c r="J6" s="287"/>
      <c r="K6" s="288"/>
    </row>
    <row r="7" spans="1:11" ht="20.100000000000001" customHeight="1" x14ac:dyDescent="0.15">
      <c r="A7" s="281"/>
      <c r="B7" s="282"/>
      <c r="C7" s="283"/>
      <c r="D7" s="284"/>
      <c r="E7" s="285"/>
      <c r="F7" s="285"/>
      <c r="G7" s="286"/>
      <c r="H7" s="287"/>
      <c r="I7" s="288"/>
      <c r="J7" s="287"/>
      <c r="K7" s="288"/>
    </row>
    <row r="8" spans="1:11" ht="20.100000000000001" customHeight="1" x14ac:dyDescent="0.15">
      <c r="A8" s="281"/>
      <c r="B8" s="282"/>
      <c r="C8" s="283"/>
      <c r="D8" s="284"/>
      <c r="E8" s="285"/>
      <c r="F8" s="285"/>
      <c r="G8" s="286"/>
      <c r="H8" s="287"/>
      <c r="I8" s="288"/>
      <c r="J8" s="287"/>
      <c r="K8" s="288"/>
    </row>
    <row r="9" spans="1:11" ht="20.100000000000001" customHeight="1" x14ac:dyDescent="0.15">
      <c r="A9" s="281"/>
      <c r="B9" s="282"/>
      <c r="C9" s="283"/>
      <c r="D9" s="284"/>
      <c r="E9" s="285"/>
      <c r="F9" s="285"/>
      <c r="G9" s="286"/>
      <c r="H9" s="287"/>
      <c r="I9" s="288"/>
      <c r="J9" s="287"/>
      <c r="K9" s="288"/>
    </row>
    <row r="10" spans="1:11" ht="20.100000000000001" customHeight="1" x14ac:dyDescent="0.15">
      <c r="A10" s="281"/>
      <c r="B10" s="282"/>
      <c r="C10" s="283"/>
      <c r="D10" s="284"/>
      <c r="E10" s="285"/>
      <c r="F10" s="285"/>
      <c r="G10" s="286"/>
      <c r="H10" s="287"/>
      <c r="I10" s="288"/>
      <c r="J10" s="287"/>
      <c r="K10" s="288"/>
    </row>
    <row r="11" spans="1:11" ht="20.100000000000001" customHeight="1" x14ac:dyDescent="0.15">
      <c r="A11" s="281"/>
      <c r="B11" s="282"/>
      <c r="C11" s="283"/>
      <c r="D11" s="284"/>
      <c r="E11" s="285"/>
      <c r="F11" s="285"/>
      <c r="G11" s="286"/>
      <c r="H11" s="287"/>
      <c r="I11" s="288"/>
      <c r="J11" s="287"/>
      <c r="K11" s="288"/>
    </row>
    <row r="12" spans="1:11" ht="20.100000000000001" customHeight="1" x14ac:dyDescent="0.15">
      <c r="A12" s="289" t="s">
        <v>786</v>
      </c>
      <c r="B12" s="290"/>
      <c r="C12" s="291"/>
      <c r="D12" s="292" t="str">
        <f>IF(H12&lt;&gt;J12,"",SUBSTITUTE(IF(-DOLLAR(H12),IF(H12&gt;0,,"负")&amp;TEXT(INT(ABS(H12)+0.5%),"[dbnum2]G/通用格式元;;")&amp;TEXT(RIGHT(DOLLAR(H12),2),"[&gt;9][dbnum2]0角0分;"&amp;IF(H12^2&lt;1,,0)&amp;"[&gt;][dbnum2]0分;整"),),"零分","整"))</f>
        <v/>
      </c>
      <c r="E12" s="293"/>
      <c r="F12" s="293"/>
      <c r="G12" s="294"/>
      <c r="H12" s="295"/>
      <c r="I12" s="296"/>
      <c r="J12" s="295"/>
      <c r="K12" s="296"/>
    </row>
    <row r="13" spans="1:11" ht="20.100000000000001" customHeight="1" x14ac:dyDescent="0.15">
      <c r="C13" s="124" t="s">
        <v>788</v>
      </c>
      <c r="D13" s="13"/>
      <c r="F13" s="124" t="s">
        <v>790</v>
      </c>
      <c r="J13" s="124" t="s">
        <v>789</v>
      </c>
    </row>
    <row r="14" spans="1:11" ht="24" customHeight="1" x14ac:dyDescent="0.15"/>
  </sheetData>
  <sheetProtection formatCells="0" formatColumns="0" formatRows="0"/>
  <mergeCells count="38">
    <mergeCell ref="A6:C6"/>
    <mergeCell ref="D6:G6"/>
    <mergeCell ref="H6:I6"/>
    <mergeCell ref="J6:K6"/>
    <mergeCell ref="A5:C5"/>
    <mergeCell ref="D5:G5"/>
    <mergeCell ref="H5:I5"/>
    <mergeCell ref="J5:K5"/>
    <mergeCell ref="J4:K4"/>
    <mergeCell ref="D1:H1"/>
    <mergeCell ref="E2:G2"/>
    <mergeCell ref="D4:G4"/>
    <mergeCell ref="A4:C4"/>
    <mergeCell ref="H4:I4"/>
    <mergeCell ref="A12:C12"/>
    <mergeCell ref="D12:G12"/>
    <mergeCell ref="H12:I12"/>
    <mergeCell ref="J12:K12"/>
    <mergeCell ref="A11:C11"/>
    <mergeCell ref="D11:G11"/>
    <mergeCell ref="H11:I11"/>
    <mergeCell ref="J11:K11"/>
    <mergeCell ref="A10:C10"/>
    <mergeCell ref="D10:G10"/>
    <mergeCell ref="H10:I10"/>
    <mergeCell ref="J10:K10"/>
    <mergeCell ref="A9:C9"/>
    <mergeCell ref="D9:G9"/>
    <mergeCell ref="H9:I9"/>
    <mergeCell ref="J9:K9"/>
    <mergeCell ref="A8:C8"/>
    <mergeCell ref="D8:G8"/>
    <mergeCell ref="H8:I8"/>
    <mergeCell ref="J8:K8"/>
    <mergeCell ref="A7:C7"/>
    <mergeCell ref="D7:G7"/>
    <mergeCell ref="H7:I7"/>
    <mergeCell ref="J7:K7"/>
  </mergeCells>
  <phoneticPr fontId="45" type="noConversion"/>
  <dataValidations count="4">
    <dataValidation type="date" operator="greaterThanOrEqual" allowBlank="1" showInputMessage="1" showErrorMessage="1" sqref="E2:G2" xr:uid="{08BC3AF6-686C-4E44-BF68-4CCC14AAB850}">
      <formula1>7306</formula1>
    </dataValidation>
    <dataValidation type="whole" operator="greaterThan" allowBlank="1" showInputMessage="1" showErrorMessage="1" sqref="K2" xr:uid="{BF2D7922-517F-46D7-8BCF-6E56CB00FAA8}">
      <formula1>0</formula1>
    </dataValidation>
    <dataValidation type="whole" operator="greaterThanOrEqual" allowBlank="1" showInputMessage="1" showErrorMessage="1" sqref="K3" xr:uid="{BE9F2A80-6AA3-4118-B28C-64C771259790}">
      <formula1>0</formula1>
    </dataValidation>
    <dataValidation type="decimal" operator="notEqual" allowBlank="1" showInputMessage="1" showErrorMessage="1" sqref="J5:J11 H5:H11" xr:uid="{B813F0D5-C960-4BDF-82C9-4D72809F1A27}">
      <formula1>0</formula1>
    </dataValidation>
  </dataValidations>
  <pageMargins left="0.31496062992125984" right="0.31496062992125984" top="0.55118110236220474" bottom="0.55118110236220474" header="0.31496062992125984" footer="0.31496062992125984"/>
  <pageSetup paperSize="512" orientation="portrait" r:id="rId1"/>
  <drawing r:id="rId2"/>
  <legacyDrawing r:id="rId3"/>
  <controls>
    <mc:AlternateContent xmlns:mc="http://schemas.openxmlformats.org/markup-compatibility/2006">
      <mc:Choice Requires="x14">
        <control shapeId="70659" r:id="rId4" name="cmd_Back">
          <controlPr print="0" autoLine="0" autoPict="0" r:id="rId5">
            <anchor moveWithCells="1">
              <from>
                <xdr:col>12</xdr:col>
                <xdr:colOff>9525</xdr:colOff>
                <xdr:row>0</xdr:row>
                <xdr:rowOff>0</xdr:rowOff>
              </from>
              <to>
                <xdr:col>12</xdr:col>
                <xdr:colOff>619125</xdr:colOff>
                <xdr:row>0</xdr:row>
                <xdr:rowOff>228600</xdr:rowOff>
              </to>
            </anchor>
          </controlPr>
        </control>
      </mc:Choice>
      <mc:Fallback>
        <control shapeId="70659" r:id="rId4" name="cmd_Back"/>
      </mc:Fallback>
    </mc:AlternateContent>
    <mc:AlternateContent xmlns:mc="http://schemas.openxmlformats.org/markup-compatibility/2006">
      <mc:Choice Requires="x14">
        <control shapeId="70661" r:id="rId6" name="cmd_SetPrint">
          <controlPr print="0" autoLine="0" autoPict="0" r:id="rId7">
            <anchor moveWithCells="1">
              <from>
                <xdr:col>12</xdr:col>
                <xdr:colOff>638175</xdr:colOff>
                <xdr:row>0</xdr:row>
                <xdr:rowOff>0</xdr:rowOff>
              </from>
              <to>
                <xdr:col>14</xdr:col>
                <xdr:colOff>180975</xdr:colOff>
                <xdr:row>0</xdr:row>
                <xdr:rowOff>228600</xdr:rowOff>
              </to>
            </anchor>
          </controlPr>
        </control>
      </mc:Choice>
      <mc:Fallback>
        <control shapeId="70661" r:id="rId6" name="cmd_SetPrint"/>
      </mc:Fallback>
    </mc:AlternateContent>
    <mc:AlternateContent xmlns:mc="http://schemas.openxmlformats.org/markup-compatibility/2006">
      <mc:Choice Requires="x14">
        <control shapeId="70663" r:id="rId8" name="cmd_Query">
          <controlPr print="0" autoLine="0" r:id="rId9">
            <anchor moveWithCells="1">
              <from>
                <xdr:col>14</xdr:col>
                <xdr:colOff>228600</xdr:colOff>
                <xdr:row>0</xdr:row>
                <xdr:rowOff>0</xdr:rowOff>
              </from>
              <to>
                <xdr:col>15</xdr:col>
                <xdr:colOff>152400</xdr:colOff>
                <xdr:row>0</xdr:row>
                <xdr:rowOff>228600</xdr:rowOff>
              </to>
            </anchor>
          </controlPr>
        </control>
      </mc:Choice>
      <mc:Fallback>
        <control shapeId="70663" r:id="rId8" name="cmd_Quer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288E3-EFE7-4A3D-9346-D011BB33459F}">
  <sheetPr codeName="Sheet19"/>
  <dimension ref="A1:K14"/>
  <sheetViews>
    <sheetView workbookViewId="0">
      <selection activeCell="A3" sqref="A3:K11"/>
    </sheetView>
  </sheetViews>
  <sheetFormatPr defaultRowHeight="13.5" x14ac:dyDescent="0.15"/>
  <cols>
    <col min="1" max="1" width="5.625" customWidth="1"/>
    <col min="2" max="11" width="8.625" customWidth="1"/>
  </cols>
  <sheetData>
    <row r="1" spans="1:11" ht="24" customHeight="1" x14ac:dyDescent="0.15">
      <c r="B1" s="23"/>
      <c r="D1" s="297" t="s">
        <v>0</v>
      </c>
      <c r="E1" s="297"/>
      <c r="F1" s="297"/>
      <c r="G1" s="297"/>
      <c r="H1" s="297"/>
      <c r="I1" s="173"/>
      <c r="J1" s="1"/>
      <c r="K1" s="123"/>
    </row>
    <row r="2" spans="1:11" ht="15.95" customHeight="1" x14ac:dyDescent="0.15">
      <c r="D2" s="3" t="s">
        <v>6</v>
      </c>
      <c r="E2" s="258"/>
      <c r="F2" s="258"/>
      <c r="G2" s="258"/>
      <c r="J2" s="117"/>
      <c r="K2" s="123"/>
    </row>
    <row r="3" spans="1:11" ht="15.95" customHeight="1" x14ac:dyDescent="0.15">
      <c r="B3" s="174" t="s">
        <v>757</v>
      </c>
      <c r="C3" s="1" t="str">
        <f>单位名称</f>
        <v>浙江晴天服饰有限公司</v>
      </c>
      <c r="D3" s="1"/>
      <c r="E3" s="1"/>
      <c r="F3" s="1"/>
      <c r="G3" s="1"/>
      <c r="J3" s="117" t="s">
        <v>5</v>
      </c>
      <c r="K3" s="123"/>
    </row>
    <row r="4" spans="1:11" ht="36" customHeight="1" x14ac:dyDescent="0.15">
      <c r="A4" s="289" t="s">
        <v>754</v>
      </c>
      <c r="B4" s="290"/>
      <c r="C4" s="291"/>
      <c r="D4" s="289" t="s">
        <v>753</v>
      </c>
      <c r="E4" s="290"/>
      <c r="F4" s="290"/>
      <c r="G4" s="291"/>
      <c r="H4" s="289" t="s">
        <v>755</v>
      </c>
      <c r="I4" s="291"/>
      <c r="J4" s="289" t="s">
        <v>756</v>
      </c>
      <c r="K4" s="291"/>
    </row>
    <row r="5" spans="1:11" ht="24" customHeight="1" x14ac:dyDescent="0.15">
      <c r="A5" s="281"/>
      <c r="B5" s="282"/>
      <c r="C5" s="283"/>
      <c r="D5" s="284"/>
      <c r="E5" s="285"/>
      <c r="F5" s="285"/>
      <c r="G5" s="286"/>
      <c r="H5" s="287"/>
      <c r="I5" s="288"/>
      <c r="J5" s="287"/>
      <c r="K5" s="288"/>
    </row>
    <row r="6" spans="1:11" ht="24" customHeight="1" x14ac:dyDescent="0.15">
      <c r="A6" s="281"/>
      <c r="B6" s="282"/>
      <c r="C6" s="283"/>
      <c r="D6" s="284"/>
      <c r="E6" s="285"/>
      <c r="F6" s="285"/>
      <c r="G6" s="286"/>
      <c r="H6" s="287"/>
      <c r="I6" s="288"/>
      <c r="J6" s="287"/>
      <c r="K6" s="288"/>
    </row>
    <row r="7" spans="1:11" ht="24" customHeight="1" x14ac:dyDescent="0.15">
      <c r="A7" s="281"/>
      <c r="B7" s="282"/>
      <c r="C7" s="283"/>
      <c r="D7" s="284"/>
      <c r="E7" s="285"/>
      <c r="F7" s="285"/>
      <c r="G7" s="286"/>
      <c r="H7" s="287"/>
      <c r="I7" s="288"/>
      <c r="J7" s="287"/>
      <c r="K7" s="288"/>
    </row>
    <row r="8" spans="1:11" ht="24" customHeight="1" x14ac:dyDescent="0.15">
      <c r="A8" s="281"/>
      <c r="B8" s="282"/>
      <c r="C8" s="283"/>
      <c r="D8" s="284"/>
      <c r="E8" s="285"/>
      <c r="F8" s="285"/>
      <c r="G8" s="286"/>
      <c r="H8" s="287"/>
      <c r="I8" s="288"/>
      <c r="J8" s="287"/>
      <c r="K8" s="288"/>
    </row>
    <row r="9" spans="1:11" ht="24" customHeight="1" x14ac:dyDescent="0.15">
      <c r="A9" s="281"/>
      <c r="B9" s="282"/>
      <c r="C9" s="283"/>
      <c r="D9" s="284"/>
      <c r="E9" s="285"/>
      <c r="F9" s="285"/>
      <c r="G9" s="286"/>
      <c r="H9" s="287"/>
      <c r="I9" s="288"/>
      <c r="J9" s="287"/>
      <c r="K9" s="288"/>
    </row>
    <row r="10" spans="1:11" ht="24" customHeight="1" x14ac:dyDescent="0.15">
      <c r="A10" s="289" t="s">
        <v>786</v>
      </c>
      <c r="B10" s="290"/>
      <c r="C10" s="291"/>
      <c r="D10" s="292" t="str">
        <f>IF(H10&lt;&gt;J10,"",SUBSTITUTE(IF(-DOLLAR(H10),IF(H10&gt;0,,"负")&amp;TEXT(INT(ABS(H10)+0.5%),"[dbnum2]G/通用格式元;;")&amp;TEXT(RIGHT(DOLLAR(H10),2),"[&gt;9][dbnum2]0角0分;"&amp;IF(H10^2&lt;1,,0)&amp;"[&gt;][dbnum2]0分;整"),),"零分","整"))</f>
        <v/>
      </c>
      <c r="E10" s="293"/>
      <c r="F10" s="293"/>
      <c r="G10" s="294"/>
      <c r="H10" s="295"/>
      <c r="I10" s="296"/>
      <c r="J10" s="295"/>
      <c r="K10" s="296"/>
    </row>
    <row r="11" spans="1:11" ht="24" customHeight="1" x14ac:dyDescent="0.15">
      <c r="C11" s="124" t="s">
        <v>788</v>
      </c>
      <c r="D11" s="13" t="s">
        <v>666</v>
      </c>
      <c r="F11" s="124" t="s">
        <v>790</v>
      </c>
      <c r="J11" s="124" t="s">
        <v>789</v>
      </c>
    </row>
    <row r="12" spans="1:11" x14ac:dyDescent="0.15">
      <c r="D12" s="13"/>
    </row>
    <row r="14" spans="1:11" x14ac:dyDescent="0.15">
      <c r="D14" s="13" t="s">
        <v>666</v>
      </c>
    </row>
  </sheetData>
  <mergeCells count="30">
    <mergeCell ref="J4:K4"/>
    <mergeCell ref="D1:H1"/>
    <mergeCell ref="E2:G2"/>
    <mergeCell ref="A4:C4"/>
    <mergeCell ref="D4:G4"/>
    <mergeCell ref="H4:I4"/>
    <mergeCell ref="A5:C5"/>
    <mergeCell ref="D5:G5"/>
    <mergeCell ref="H5:I5"/>
    <mergeCell ref="J5:K5"/>
    <mergeCell ref="A6:C6"/>
    <mergeCell ref="D6:G6"/>
    <mergeCell ref="H6:I6"/>
    <mergeCell ref="J6:K6"/>
    <mergeCell ref="A7:C7"/>
    <mergeCell ref="D7:G7"/>
    <mergeCell ref="H7:I7"/>
    <mergeCell ref="J7:K7"/>
    <mergeCell ref="A8:C8"/>
    <mergeCell ref="D8:G8"/>
    <mergeCell ref="H8:I8"/>
    <mergeCell ref="J8:K8"/>
    <mergeCell ref="A9:C9"/>
    <mergeCell ref="D9:G9"/>
    <mergeCell ref="H9:I9"/>
    <mergeCell ref="J9:K9"/>
    <mergeCell ref="A10:C10"/>
    <mergeCell ref="D10:G10"/>
    <mergeCell ref="H10:I10"/>
    <mergeCell ref="J10:K10"/>
  </mergeCells>
  <phoneticPr fontId="45" type="noConversion"/>
  <dataValidations count="4">
    <dataValidation type="decimal" operator="notEqual" allowBlank="1" showInputMessage="1" showErrorMessage="1" sqref="H5:H9 J5:J9" xr:uid="{85229039-30D6-47B9-B468-3A459958DC5D}">
      <formula1>0</formula1>
    </dataValidation>
    <dataValidation type="whole" operator="greaterThanOrEqual" allowBlank="1" showInputMessage="1" showErrorMessage="1" sqref="K3" xr:uid="{D4066938-EDCC-41C0-A5FD-3F61673CAA0C}">
      <formula1>0</formula1>
    </dataValidation>
    <dataValidation type="whole" operator="greaterThan" allowBlank="1" showInputMessage="1" showErrorMessage="1" sqref="K2" xr:uid="{752DA05D-2DD9-43A1-A69E-E4304AD66FB2}">
      <formula1>0</formula1>
    </dataValidation>
    <dataValidation type="date" operator="greaterThanOrEqual" allowBlank="1" showInputMessage="1" showErrorMessage="1" sqref="E2:G2" xr:uid="{9DCBCD46-B0C2-48CF-9CDB-13A8E5DED216}">
      <formula1>7306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B1:AJ61"/>
  <sheetViews>
    <sheetView showGridLines="0" showZeros="0" workbookViewId="0">
      <selection activeCell="F8" sqref="F8"/>
    </sheetView>
  </sheetViews>
  <sheetFormatPr defaultRowHeight="13.5" x14ac:dyDescent="0.15"/>
  <cols>
    <col min="1" max="1" width="8.625" customWidth="1"/>
    <col min="2" max="2" width="9.75" style="162" customWidth="1"/>
    <col min="3" max="3" width="5.375" style="170" customWidth="1"/>
    <col min="4" max="4" width="17" customWidth="1"/>
    <col min="5" max="5" width="12.625" style="70" customWidth="1"/>
    <col min="6" max="6" width="11.5" style="70" customWidth="1"/>
    <col min="7" max="7" width="3.5" style="123" customWidth="1"/>
    <col min="8" max="8" width="11.25" style="70" customWidth="1"/>
    <col min="9" max="10" width="9" style="45"/>
    <col min="24" max="24" width="9" customWidth="1"/>
    <col min="25" max="25" width="11.625" style="10" customWidth="1"/>
    <col min="26" max="26" width="10.5" customWidth="1"/>
    <col min="27" max="34" width="9" customWidth="1"/>
  </cols>
  <sheetData>
    <row r="1" spans="2:36" ht="24.95" customHeight="1" x14ac:dyDescent="0.15">
      <c r="B1" s="298" t="s">
        <v>771</v>
      </c>
      <c r="C1" s="298"/>
      <c r="D1" s="298"/>
      <c r="E1" s="298"/>
      <c r="F1" s="298"/>
      <c r="G1" s="298"/>
      <c r="H1" s="298"/>
      <c r="I1" s="107"/>
      <c r="X1" s="69"/>
      <c r="Y1" s="69"/>
      <c r="Z1" s="106" t="s">
        <v>737</v>
      </c>
      <c r="AA1" s="106" t="s">
        <v>738</v>
      </c>
      <c r="AB1" s="106" t="s">
        <v>196</v>
      </c>
      <c r="AC1" s="106" t="s">
        <v>739</v>
      </c>
      <c r="AD1" s="106" t="s">
        <v>731</v>
      </c>
      <c r="AE1" s="106" t="s">
        <v>732</v>
      </c>
      <c r="AF1" s="106" t="s">
        <v>733</v>
      </c>
      <c r="AG1" s="106" t="s">
        <v>734</v>
      </c>
      <c r="AH1" s="106" t="s">
        <v>735</v>
      </c>
      <c r="AI1" s="12" t="s">
        <v>736</v>
      </c>
    </row>
    <row r="2" spans="2:36" ht="22.5" x14ac:dyDescent="0.15">
      <c r="B2" s="221" t="s">
        <v>838</v>
      </c>
      <c r="C2" s="169"/>
      <c r="D2" s="119"/>
      <c r="E2" s="164"/>
      <c r="F2" s="164"/>
      <c r="G2" s="222" t="s">
        <v>778</v>
      </c>
      <c r="H2" s="164"/>
      <c r="X2" s="12"/>
      <c r="Y2" s="30"/>
      <c r="Z2" s="12">
        <v>1001</v>
      </c>
      <c r="AA2" s="12" t="s">
        <v>10</v>
      </c>
      <c r="AB2" s="12">
        <v>2</v>
      </c>
      <c r="AC2" s="12"/>
      <c r="AD2" s="12" t="s">
        <v>779</v>
      </c>
      <c r="AE2" s="12"/>
      <c r="AF2" s="12"/>
      <c r="AG2" s="12" t="s">
        <v>706</v>
      </c>
      <c r="AH2" s="12">
        <v>7000</v>
      </c>
      <c r="AI2" s="12">
        <v>-1</v>
      </c>
      <c r="AJ2" s="12"/>
    </row>
    <row r="3" spans="2:36" x14ac:dyDescent="0.15">
      <c r="B3" s="161" t="s">
        <v>834</v>
      </c>
      <c r="C3" s="161" t="s">
        <v>197</v>
      </c>
      <c r="D3" s="120" t="s">
        <v>770</v>
      </c>
      <c r="E3" s="165" t="s">
        <v>187</v>
      </c>
      <c r="F3" s="165" t="s">
        <v>188</v>
      </c>
      <c r="G3" s="299" t="s">
        <v>189</v>
      </c>
      <c r="H3" s="299"/>
      <c r="X3" s="12"/>
      <c r="Y3" s="30"/>
      <c r="Z3" s="12"/>
      <c r="AA3" s="12"/>
      <c r="AB3" s="12">
        <v>2</v>
      </c>
      <c r="AC3" s="12"/>
      <c r="AD3" s="12" t="s">
        <v>727</v>
      </c>
      <c r="AE3" s="12">
        <v>0</v>
      </c>
      <c r="AF3" s="12">
        <v>0</v>
      </c>
      <c r="AG3" s="12"/>
      <c r="AH3" s="12">
        <v>7000</v>
      </c>
      <c r="AI3" s="12">
        <v>1</v>
      </c>
    </row>
    <row r="4" spans="2:36" x14ac:dyDescent="0.15">
      <c r="B4" s="172">
        <v>2019</v>
      </c>
      <c r="C4" s="172">
        <v>4</v>
      </c>
      <c r="D4" s="172" t="s">
        <v>779</v>
      </c>
      <c r="E4" s="172"/>
      <c r="F4" s="172"/>
      <c r="G4" s="172" t="s">
        <v>706</v>
      </c>
      <c r="H4" s="172">
        <v>7000</v>
      </c>
      <c r="X4" s="12"/>
      <c r="Y4" s="30"/>
      <c r="Z4" s="12"/>
      <c r="AA4" s="12"/>
      <c r="AB4" s="12">
        <v>2</v>
      </c>
      <c r="AC4" s="12"/>
      <c r="AD4" s="12" t="s">
        <v>728</v>
      </c>
      <c r="AE4" s="12">
        <v>0</v>
      </c>
      <c r="AF4" s="12">
        <v>0</v>
      </c>
      <c r="AG4" s="12"/>
      <c r="AH4" s="12">
        <v>7000</v>
      </c>
      <c r="AI4" s="12">
        <v>2</v>
      </c>
    </row>
    <row r="5" spans="2:36" x14ac:dyDescent="0.15">
      <c r="B5" s="212">
        <v>2019</v>
      </c>
      <c r="C5" s="212">
        <v>4</v>
      </c>
      <c r="D5" s="212" t="s">
        <v>837</v>
      </c>
      <c r="E5" s="212">
        <v>0</v>
      </c>
      <c r="F5" s="212">
        <v>600</v>
      </c>
      <c r="G5" s="212" t="s">
        <v>706</v>
      </c>
      <c r="H5" s="212">
        <v>6400</v>
      </c>
      <c r="X5" s="12"/>
      <c r="Y5" s="30"/>
      <c r="Z5" s="12"/>
      <c r="AA5" s="12"/>
      <c r="AB5" s="12">
        <v>3</v>
      </c>
      <c r="AC5" s="12"/>
      <c r="AD5" s="12" t="s">
        <v>727</v>
      </c>
      <c r="AE5" s="12"/>
      <c r="AF5" s="12"/>
      <c r="AG5" s="12"/>
      <c r="AH5" s="12">
        <v>0</v>
      </c>
      <c r="AI5" s="12">
        <v>1</v>
      </c>
    </row>
    <row r="6" spans="2:36" x14ac:dyDescent="0.15">
      <c r="B6" s="172">
        <v>2019</v>
      </c>
      <c r="C6" s="172">
        <v>4</v>
      </c>
      <c r="D6" s="172" t="s">
        <v>728</v>
      </c>
      <c r="E6" s="172">
        <v>100</v>
      </c>
      <c r="F6" s="172">
        <v>700</v>
      </c>
      <c r="G6" s="172" t="s">
        <v>706</v>
      </c>
      <c r="H6" s="172">
        <v>6400</v>
      </c>
      <c r="X6" s="12"/>
      <c r="Y6" s="30"/>
      <c r="Z6" s="12"/>
      <c r="AA6" s="12"/>
      <c r="AB6" s="12">
        <v>3</v>
      </c>
      <c r="AC6" s="12"/>
      <c r="AD6" s="12" t="s">
        <v>728</v>
      </c>
      <c r="AE6" s="12">
        <v>0</v>
      </c>
      <c r="AF6" s="12">
        <v>0</v>
      </c>
      <c r="AG6" s="12"/>
      <c r="AH6" s="12">
        <v>0</v>
      </c>
      <c r="AI6" s="12">
        <v>2</v>
      </c>
    </row>
    <row r="7" spans="2:36" x14ac:dyDescent="0.15">
      <c r="B7" s="212">
        <v>2019</v>
      </c>
      <c r="C7" s="212">
        <v>5</v>
      </c>
      <c r="D7" s="212" t="s">
        <v>837</v>
      </c>
      <c r="E7" s="212">
        <v>200</v>
      </c>
      <c r="F7" s="212">
        <v>600</v>
      </c>
      <c r="G7" s="212" t="s">
        <v>706</v>
      </c>
      <c r="H7" s="212">
        <v>6000</v>
      </c>
      <c r="X7" s="12"/>
      <c r="Y7" s="30"/>
      <c r="Z7" s="12"/>
      <c r="AA7" s="12"/>
      <c r="AB7" s="12">
        <v>4</v>
      </c>
      <c r="AC7" s="12"/>
      <c r="AD7" s="12" t="s">
        <v>727</v>
      </c>
      <c r="AE7" s="12">
        <v>511</v>
      </c>
      <c r="AF7" s="12">
        <v>-100</v>
      </c>
      <c r="AG7" s="12"/>
      <c r="AH7" s="12">
        <v>0</v>
      </c>
      <c r="AI7" s="12">
        <v>1</v>
      </c>
    </row>
    <row r="8" spans="2:36" x14ac:dyDescent="0.15">
      <c r="B8" s="172">
        <v>2019</v>
      </c>
      <c r="C8" s="172">
        <v>5</v>
      </c>
      <c r="D8" s="172" t="s">
        <v>728</v>
      </c>
      <c r="E8" s="172">
        <v>300</v>
      </c>
      <c r="F8" s="172">
        <v>1300</v>
      </c>
      <c r="G8" s="172" t="s">
        <v>706</v>
      </c>
      <c r="H8" s="172">
        <v>6000</v>
      </c>
      <c r="X8" s="12"/>
      <c r="Y8" s="30"/>
      <c r="Z8" s="12"/>
      <c r="AA8" s="12"/>
      <c r="AB8" s="12">
        <v>4</v>
      </c>
      <c r="AC8" s="12"/>
      <c r="AD8" s="12" t="s">
        <v>728</v>
      </c>
      <c r="AE8" s="12">
        <v>511</v>
      </c>
      <c r="AF8" s="12">
        <v>-100</v>
      </c>
      <c r="AG8" s="12"/>
      <c r="AH8" s="12">
        <v>0</v>
      </c>
      <c r="AI8" s="12">
        <v>2</v>
      </c>
    </row>
    <row r="9" spans="2:36" x14ac:dyDescent="0.15">
      <c r="G9"/>
      <c r="X9" s="12"/>
      <c r="Y9" s="30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6" x14ac:dyDescent="0.15">
      <c r="G10"/>
      <c r="X10" s="12"/>
      <c r="Y10" s="30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6" x14ac:dyDescent="0.15">
      <c r="G11"/>
      <c r="X11" s="12"/>
      <c r="Y11" s="30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6" x14ac:dyDescent="0.15">
      <c r="G12"/>
      <c r="X12" s="12"/>
      <c r="Y12" s="30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6" x14ac:dyDescent="0.15">
      <c r="B13" s="163"/>
      <c r="C13" s="171"/>
      <c r="D13" s="22"/>
      <c r="E13" s="166"/>
      <c r="F13" s="166"/>
      <c r="G13" s="22"/>
      <c r="H13" s="166"/>
      <c r="X13" s="12"/>
      <c r="Y13" s="30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6" x14ac:dyDescent="0.15">
      <c r="B14" s="163"/>
      <c r="C14" s="171"/>
      <c r="D14" s="22"/>
      <c r="E14" s="166"/>
      <c r="F14" s="166"/>
      <c r="G14" s="22"/>
      <c r="H14" s="166"/>
      <c r="X14" s="12"/>
      <c r="Y14" s="30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6" x14ac:dyDescent="0.15">
      <c r="B15" s="163"/>
      <c r="C15" s="171"/>
      <c r="D15" s="22"/>
      <c r="E15" s="166"/>
      <c r="F15" s="166"/>
      <c r="G15" s="22"/>
      <c r="H15" s="166"/>
      <c r="X15" s="12"/>
      <c r="Y15" s="30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6" x14ac:dyDescent="0.15">
      <c r="B16" s="163"/>
      <c r="C16" s="171"/>
      <c r="D16" s="22"/>
      <c r="E16" s="166"/>
      <c r="F16" s="166"/>
      <c r="G16" s="22"/>
      <c r="H16" s="166"/>
      <c r="X16" s="12"/>
      <c r="Y16" s="30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15">
      <c r="B17" s="163"/>
      <c r="C17" s="171"/>
      <c r="D17" s="22"/>
      <c r="E17" s="166"/>
      <c r="F17" s="166"/>
      <c r="G17" s="22"/>
      <c r="H17" s="166"/>
      <c r="X17" s="12"/>
      <c r="Y17" s="30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15">
      <c r="B18" s="163"/>
      <c r="C18" s="171"/>
      <c r="D18" s="22"/>
      <c r="E18" s="166"/>
      <c r="F18" s="166"/>
      <c r="G18" s="22"/>
      <c r="H18" s="166"/>
      <c r="X18" s="12"/>
      <c r="Y18" s="30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15">
      <c r="B19" s="163"/>
      <c r="C19" s="171"/>
      <c r="D19" s="22"/>
      <c r="E19" s="166"/>
      <c r="F19" s="166"/>
      <c r="G19" s="22"/>
      <c r="H19" s="166"/>
      <c r="X19" s="12"/>
      <c r="Y19" s="30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15">
      <c r="B20" s="163"/>
      <c r="C20" s="171"/>
      <c r="D20" s="22"/>
      <c r="E20" s="166"/>
      <c r="F20" s="166"/>
      <c r="G20" s="22"/>
      <c r="H20" s="166"/>
      <c r="X20" s="12"/>
      <c r="Y20" s="30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15">
      <c r="B21" s="163"/>
      <c r="C21" s="171"/>
      <c r="D21" s="22"/>
      <c r="E21" s="166"/>
      <c r="F21" s="166"/>
      <c r="G21" s="22"/>
      <c r="H21" s="166"/>
      <c r="X21" s="12"/>
      <c r="Y21" s="30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15">
      <c r="B22" s="163"/>
      <c r="C22" s="171"/>
      <c r="D22" s="22"/>
      <c r="E22" s="166"/>
      <c r="F22" s="166"/>
      <c r="G22" s="22"/>
      <c r="H22" s="166"/>
      <c r="X22" s="12"/>
      <c r="Y22" s="30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15">
      <c r="B23" s="163"/>
      <c r="C23" s="171"/>
      <c r="D23" s="22"/>
      <c r="E23" s="166"/>
      <c r="F23" s="166"/>
      <c r="G23" s="22"/>
      <c r="H23" s="166"/>
      <c r="X23" s="12"/>
      <c r="Y23" s="30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15">
      <c r="B24" s="163"/>
      <c r="C24" s="171"/>
      <c r="D24" s="22"/>
      <c r="E24" s="166"/>
      <c r="F24" s="166"/>
      <c r="G24" s="22"/>
      <c r="H24" s="166"/>
      <c r="X24" s="12"/>
      <c r="Y24" s="30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15">
      <c r="B25" s="163"/>
      <c r="C25" s="171"/>
      <c r="D25" s="22"/>
      <c r="E25" s="166"/>
      <c r="F25" s="166"/>
      <c r="G25" s="22"/>
      <c r="H25" s="166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15">
      <c r="B26" s="163"/>
      <c r="C26" s="171"/>
      <c r="D26" s="22"/>
      <c r="E26" s="166"/>
      <c r="F26" s="166"/>
      <c r="G26" s="22"/>
      <c r="H26" s="166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15">
      <c r="B27" s="163"/>
      <c r="C27" s="171"/>
      <c r="D27" s="22"/>
      <c r="E27" s="166"/>
      <c r="F27" s="166"/>
      <c r="G27" s="22"/>
      <c r="H27" s="166"/>
    </row>
    <row r="28" spans="2:35" x14ac:dyDescent="0.15">
      <c r="B28" s="163"/>
      <c r="C28" s="171"/>
      <c r="D28" s="22"/>
      <c r="E28" s="166"/>
      <c r="F28" s="166"/>
      <c r="G28" s="22"/>
      <c r="H28" s="166"/>
    </row>
    <row r="29" spans="2:35" x14ac:dyDescent="0.15">
      <c r="B29" s="163"/>
      <c r="C29" s="171"/>
      <c r="D29" s="71"/>
      <c r="E29" s="166"/>
      <c r="F29" s="166"/>
      <c r="G29" s="22"/>
      <c r="H29" s="166"/>
    </row>
    <row r="30" spans="2:35" x14ac:dyDescent="0.15">
      <c r="B30" s="163"/>
      <c r="C30" s="171"/>
      <c r="D30" s="71"/>
      <c r="E30" s="166"/>
      <c r="F30" s="166"/>
      <c r="G30" s="22"/>
      <c r="H30" s="166"/>
    </row>
    <row r="31" spans="2:35" x14ac:dyDescent="0.15">
      <c r="B31" s="163"/>
      <c r="C31" s="171"/>
      <c r="D31" s="71"/>
      <c r="E31" s="166"/>
      <c r="F31" s="166"/>
      <c r="G31" s="22"/>
      <c r="H31" s="166"/>
    </row>
    <row r="32" spans="2:35" x14ac:dyDescent="0.15">
      <c r="B32" s="163"/>
      <c r="C32" s="171"/>
      <c r="D32" s="71"/>
      <c r="E32" s="166"/>
      <c r="F32" s="166"/>
      <c r="G32" s="22"/>
      <c r="H32" s="166"/>
    </row>
    <row r="33" spans="2:8" x14ac:dyDescent="0.15">
      <c r="B33" s="163"/>
      <c r="C33" s="171"/>
      <c r="D33" s="71"/>
      <c r="E33" s="166"/>
      <c r="F33" s="166"/>
      <c r="G33" s="22"/>
      <c r="H33" s="166"/>
    </row>
    <row r="34" spans="2:8" x14ac:dyDescent="0.15">
      <c r="B34" s="163"/>
      <c r="C34" s="171"/>
      <c r="D34" s="71"/>
      <c r="E34" s="166"/>
      <c r="F34" s="166"/>
      <c r="G34" s="22"/>
      <c r="H34" s="166"/>
    </row>
    <row r="35" spans="2:8" x14ac:dyDescent="0.15">
      <c r="B35" s="163"/>
      <c r="C35" s="171"/>
      <c r="D35" s="71"/>
      <c r="E35" s="166"/>
      <c r="F35" s="166"/>
      <c r="G35" s="22"/>
      <c r="H35" s="166"/>
    </row>
    <row r="36" spans="2:8" x14ac:dyDescent="0.15">
      <c r="B36" s="163"/>
      <c r="C36" s="171"/>
      <c r="D36" s="71"/>
      <c r="E36" s="166"/>
      <c r="F36" s="166"/>
      <c r="G36" s="22"/>
      <c r="H36" s="166"/>
    </row>
    <row r="37" spans="2:8" x14ac:dyDescent="0.15">
      <c r="B37" s="163"/>
      <c r="C37" s="171"/>
      <c r="D37" s="71"/>
      <c r="E37" s="166"/>
      <c r="F37" s="166"/>
      <c r="G37" s="22"/>
      <c r="H37" s="166"/>
    </row>
    <row r="38" spans="2:8" x14ac:dyDescent="0.15">
      <c r="B38" s="163"/>
      <c r="C38" s="171"/>
      <c r="D38" s="71"/>
      <c r="E38" s="166"/>
      <c r="F38" s="166"/>
      <c r="G38" s="22"/>
      <c r="H38" s="166"/>
    </row>
    <row r="39" spans="2:8" x14ac:dyDescent="0.15">
      <c r="B39" s="163"/>
      <c r="C39" s="171"/>
      <c r="D39" s="71"/>
      <c r="E39" s="166"/>
      <c r="F39" s="166"/>
      <c r="G39" s="22"/>
      <c r="H39" s="166"/>
    </row>
    <row r="40" spans="2:8" x14ac:dyDescent="0.15">
      <c r="B40" s="163"/>
      <c r="C40" s="171"/>
      <c r="D40" s="71"/>
      <c r="E40" s="166"/>
      <c r="F40" s="166"/>
      <c r="G40" s="22"/>
      <c r="H40" s="166"/>
    </row>
    <row r="41" spans="2:8" x14ac:dyDescent="0.15">
      <c r="B41" s="163"/>
      <c r="C41" s="171"/>
      <c r="D41" s="71"/>
      <c r="E41" s="166"/>
      <c r="F41" s="166"/>
      <c r="G41" s="22"/>
      <c r="H41" s="166"/>
    </row>
    <row r="42" spans="2:8" x14ac:dyDescent="0.15">
      <c r="B42" s="163"/>
      <c r="C42" s="171"/>
      <c r="D42" s="71"/>
      <c r="E42" s="166"/>
      <c r="F42" s="166"/>
      <c r="G42" s="22"/>
      <c r="H42" s="166"/>
    </row>
    <row r="43" spans="2:8" x14ac:dyDescent="0.15">
      <c r="B43" s="163"/>
      <c r="C43" s="171"/>
      <c r="D43" s="71"/>
      <c r="E43" s="166"/>
      <c r="F43" s="166"/>
      <c r="G43" s="22"/>
      <c r="H43" s="166"/>
    </row>
    <row r="44" spans="2:8" x14ac:dyDescent="0.15">
      <c r="B44" s="163"/>
      <c r="C44" s="171"/>
      <c r="D44" s="71"/>
      <c r="E44" s="166"/>
      <c r="F44" s="166"/>
      <c r="G44" s="22"/>
      <c r="H44" s="166"/>
    </row>
    <row r="45" spans="2:8" x14ac:dyDescent="0.15">
      <c r="B45" s="163"/>
      <c r="C45" s="171"/>
      <c r="D45" s="71"/>
      <c r="E45" s="166"/>
      <c r="F45" s="166"/>
      <c r="G45" s="22"/>
      <c r="H45" s="166"/>
    </row>
    <row r="46" spans="2:8" x14ac:dyDescent="0.15">
      <c r="B46" s="163"/>
      <c r="C46" s="171"/>
      <c r="D46" s="71"/>
      <c r="E46" s="166"/>
      <c r="F46" s="166"/>
      <c r="G46" s="22"/>
      <c r="H46" s="166"/>
    </row>
    <row r="47" spans="2:8" x14ac:dyDescent="0.15">
      <c r="B47" s="163"/>
      <c r="C47" s="171"/>
      <c r="D47" s="71"/>
      <c r="E47" s="166"/>
      <c r="F47" s="166"/>
      <c r="G47" s="22"/>
      <c r="H47" s="166"/>
    </row>
    <row r="48" spans="2:8" x14ac:dyDescent="0.15">
      <c r="B48" s="163"/>
      <c r="C48" s="171"/>
      <c r="D48" s="71"/>
      <c r="E48" s="166"/>
      <c r="F48" s="166"/>
      <c r="G48" s="22"/>
      <c r="H48" s="166"/>
    </row>
    <row r="49" spans="2:8" x14ac:dyDescent="0.15">
      <c r="B49" s="163"/>
      <c r="C49" s="171"/>
      <c r="D49" s="71"/>
      <c r="E49" s="166"/>
      <c r="F49" s="166"/>
      <c r="G49" s="22"/>
      <c r="H49" s="166"/>
    </row>
    <row r="50" spans="2:8" x14ac:dyDescent="0.15">
      <c r="B50" s="163"/>
      <c r="C50" s="171"/>
      <c r="D50" s="71"/>
      <c r="E50" s="166"/>
      <c r="F50" s="166"/>
      <c r="G50" s="22"/>
      <c r="H50" s="166"/>
    </row>
    <row r="51" spans="2:8" x14ac:dyDescent="0.15">
      <c r="B51" s="163"/>
      <c r="C51" s="171"/>
      <c r="D51" s="71"/>
      <c r="E51" s="166"/>
      <c r="F51" s="166"/>
      <c r="G51" s="22"/>
      <c r="H51" s="166"/>
    </row>
    <row r="52" spans="2:8" x14ac:dyDescent="0.15">
      <c r="B52" s="163"/>
      <c r="C52" s="171"/>
      <c r="D52" s="71"/>
      <c r="E52" s="166"/>
      <c r="F52" s="166"/>
      <c r="G52" s="22"/>
      <c r="H52" s="166"/>
    </row>
    <row r="53" spans="2:8" x14ac:dyDescent="0.15">
      <c r="B53" s="163"/>
      <c r="C53" s="171"/>
      <c r="D53" s="71"/>
      <c r="E53" s="166"/>
      <c r="F53" s="166"/>
      <c r="G53" s="22"/>
      <c r="H53" s="166"/>
    </row>
    <row r="54" spans="2:8" x14ac:dyDescent="0.15">
      <c r="B54" s="163"/>
      <c r="C54" s="171"/>
      <c r="D54" s="71"/>
      <c r="E54" s="166"/>
      <c r="F54" s="166"/>
      <c r="G54" s="22"/>
      <c r="H54" s="166"/>
    </row>
    <row r="55" spans="2:8" x14ac:dyDescent="0.15">
      <c r="B55" s="163"/>
      <c r="C55" s="171"/>
      <c r="D55" s="71"/>
      <c r="E55" s="166"/>
      <c r="F55" s="166"/>
      <c r="G55" s="22"/>
      <c r="H55" s="166"/>
    </row>
    <row r="56" spans="2:8" x14ac:dyDescent="0.15">
      <c r="B56" s="163"/>
      <c r="C56" s="171"/>
      <c r="D56" s="71"/>
      <c r="E56" s="166"/>
      <c r="F56" s="166"/>
      <c r="G56" s="22"/>
      <c r="H56" s="166"/>
    </row>
    <row r="57" spans="2:8" x14ac:dyDescent="0.15">
      <c r="B57" s="163"/>
      <c r="C57" s="171"/>
      <c r="D57" s="71"/>
      <c r="E57" s="166"/>
      <c r="F57" s="166"/>
      <c r="G57" s="22"/>
      <c r="H57" s="166"/>
    </row>
    <row r="58" spans="2:8" x14ac:dyDescent="0.15">
      <c r="B58" s="163"/>
      <c r="C58" s="171"/>
      <c r="D58" s="71"/>
      <c r="E58" s="166"/>
      <c r="F58" s="166"/>
      <c r="G58" s="22"/>
      <c r="H58" s="166"/>
    </row>
    <row r="59" spans="2:8" x14ac:dyDescent="0.15">
      <c r="B59" s="163"/>
      <c r="C59" s="171"/>
      <c r="D59" s="71"/>
      <c r="E59" s="166"/>
      <c r="F59" s="166"/>
      <c r="G59" s="22"/>
      <c r="H59" s="166"/>
    </row>
    <row r="60" spans="2:8" x14ac:dyDescent="0.15">
      <c r="B60" s="163"/>
      <c r="C60" s="171"/>
      <c r="D60" s="71"/>
      <c r="E60" s="166"/>
      <c r="F60" s="166"/>
      <c r="G60" s="22"/>
      <c r="H60" s="166"/>
    </row>
    <row r="61" spans="2:8" x14ac:dyDescent="0.15">
      <c r="B61" s="163"/>
      <c r="C61" s="171"/>
      <c r="D61" s="71"/>
      <c r="E61" s="166"/>
      <c r="F61" s="166"/>
      <c r="G61" s="22"/>
      <c r="H61" s="166"/>
    </row>
  </sheetData>
  <sortState ref="X1:AH10">
    <sortCondition ref="Y2:Y10"/>
    <sortCondition ref="AH2:AH10"/>
    <sortCondition ref="Z2:Z10"/>
    <sortCondition ref="AA2:AA10"/>
  </sortState>
  <mergeCells count="2">
    <mergeCell ref="B1:H1"/>
    <mergeCell ref="G3:H3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818" r:id="rId4" name="cmd_Query">
          <controlPr print="0" autoLine="0" r:id="rId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10</xdr:col>
                <xdr:colOff>95250</xdr:colOff>
                <xdr:row>0</xdr:row>
                <xdr:rowOff>228600</xdr:rowOff>
              </to>
            </anchor>
          </controlPr>
        </control>
      </mc:Choice>
      <mc:Fallback>
        <control shapeId="34818" r:id="rId4" name="cmd_Query"/>
      </mc:Fallback>
    </mc:AlternateContent>
    <mc:AlternateContent xmlns:mc="http://schemas.openxmlformats.org/markup-compatibility/2006">
      <mc:Choice Requires="x14">
        <control shapeId="34819" r:id="rId6" name="btn_Back">
          <controlPr print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34819" r:id="rId6" name="btn_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B1:AL18"/>
  <sheetViews>
    <sheetView showGridLines="0" showZeros="0" workbookViewId="0">
      <selection activeCell="H8" sqref="H8"/>
    </sheetView>
  </sheetViews>
  <sheetFormatPr defaultRowHeight="13.5" x14ac:dyDescent="0.15"/>
  <cols>
    <col min="1" max="1" width="8.625" customWidth="1"/>
    <col min="2" max="2" width="5.5" bestFit="1" customWidth="1"/>
    <col min="3" max="3" width="4.625" style="104" customWidth="1"/>
    <col min="4" max="4" width="11.625" style="159" bestFit="1" customWidth="1"/>
    <col min="5" max="5" width="2.875" style="67" customWidth="1"/>
    <col min="6" max="6" width="2.875" style="68" customWidth="1"/>
    <col min="7" max="7" width="24.75" customWidth="1"/>
    <col min="8" max="9" width="12.625" style="168" customWidth="1"/>
    <col min="10" max="10" width="4.625" style="67" customWidth="1"/>
    <col min="11" max="11" width="8.625" style="168" customWidth="1"/>
  </cols>
  <sheetData>
    <row r="1" spans="2:38" ht="24" customHeight="1" x14ac:dyDescent="0.15">
      <c r="B1" s="298" t="s">
        <v>772</v>
      </c>
      <c r="C1" s="298"/>
      <c r="D1" s="298"/>
      <c r="E1" s="298"/>
      <c r="F1" s="298"/>
      <c r="G1" s="298"/>
      <c r="H1" s="298"/>
      <c r="I1" s="298"/>
      <c r="J1" s="298"/>
      <c r="K1" s="298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2:38" ht="16.5" customHeight="1" x14ac:dyDescent="0.15">
      <c r="B2" s="228" t="s">
        <v>832</v>
      </c>
      <c r="D2" s="160"/>
      <c r="E2" s="118"/>
      <c r="F2" s="118"/>
      <c r="G2" s="119"/>
      <c r="H2" s="167"/>
      <c r="I2" s="167"/>
      <c r="J2" s="227" t="s">
        <v>777</v>
      </c>
      <c r="K2" s="167"/>
      <c r="AC2" s="12"/>
      <c r="AD2" s="30"/>
      <c r="AE2" s="12"/>
      <c r="AF2" s="12"/>
      <c r="AG2" s="12"/>
      <c r="AH2" s="12"/>
      <c r="AI2" s="12"/>
      <c r="AJ2" s="12"/>
      <c r="AK2" s="12"/>
      <c r="AL2" s="12"/>
    </row>
    <row r="3" spans="2:38" ht="27.95" customHeight="1" x14ac:dyDescent="0.15">
      <c r="B3" s="224" t="s">
        <v>828</v>
      </c>
      <c r="C3" s="224" t="s">
        <v>196</v>
      </c>
      <c r="D3" s="225" t="s">
        <v>829</v>
      </c>
      <c r="E3" s="300" t="s">
        <v>830</v>
      </c>
      <c r="F3" s="300"/>
      <c r="G3" s="224" t="s">
        <v>754</v>
      </c>
      <c r="H3" s="226" t="s">
        <v>755</v>
      </c>
      <c r="I3" s="226" t="s">
        <v>756</v>
      </c>
      <c r="J3" s="300" t="s">
        <v>831</v>
      </c>
      <c r="K3" s="300"/>
      <c r="AC3" s="12"/>
      <c r="AD3" s="30"/>
      <c r="AE3" s="12"/>
      <c r="AF3" s="12"/>
      <c r="AG3" s="12"/>
      <c r="AH3" s="12"/>
      <c r="AI3" s="12"/>
      <c r="AJ3" s="12"/>
      <c r="AK3" s="12"/>
      <c r="AL3" s="12"/>
    </row>
    <row r="4" spans="2:38" x14ac:dyDescent="0.15">
      <c r="B4" s="234">
        <v>2019</v>
      </c>
      <c r="C4" s="234">
        <v>1</v>
      </c>
      <c r="D4" s="235">
        <v>43466</v>
      </c>
      <c r="E4" s="234"/>
      <c r="F4" s="234"/>
      <c r="G4" s="234" t="s">
        <v>207</v>
      </c>
      <c r="H4" s="234"/>
      <c r="I4" s="234"/>
      <c r="J4" s="234" t="s">
        <v>706</v>
      </c>
      <c r="K4" s="234">
        <v>7000</v>
      </c>
      <c r="AC4" s="12"/>
      <c r="AD4" s="30"/>
      <c r="AE4" s="12"/>
      <c r="AF4" s="12"/>
      <c r="AG4" s="12"/>
      <c r="AH4" s="12"/>
      <c r="AI4" s="12"/>
      <c r="AJ4" s="12"/>
      <c r="AK4" s="12"/>
      <c r="AL4" s="12"/>
    </row>
    <row r="5" spans="2:38" x14ac:dyDescent="0.15">
      <c r="B5" s="22"/>
      <c r="C5" s="22"/>
      <c r="D5" s="233"/>
      <c r="E5" s="22"/>
      <c r="F5" s="22"/>
      <c r="G5" s="22"/>
      <c r="H5" s="22"/>
      <c r="I5" s="22"/>
      <c r="J5" s="22"/>
      <c r="K5" s="22"/>
      <c r="AC5" s="12"/>
      <c r="AD5" s="30"/>
      <c r="AE5" s="12"/>
      <c r="AF5" s="12"/>
      <c r="AG5" s="12"/>
      <c r="AH5" s="12"/>
      <c r="AI5" s="12"/>
      <c r="AJ5" s="12"/>
      <c r="AK5" s="12"/>
      <c r="AL5" s="12"/>
    </row>
    <row r="6" spans="2:38" x14ac:dyDescent="0.15">
      <c r="B6" s="22"/>
      <c r="C6" s="22"/>
      <c r="D6" s="233"/>
      <c r="E6" s="22"/>
      <c r="F6" s="22"/>
      <c r="G6" s="22"/>
      <c r="H6" s="22"/>
      <c r="I6" s="22"/>
      <c r="J6" s="22"/>
      <c r="K6" s="22"/>
      <c r="AC6" s="12"/>
      <c r="AD6" s="30"/>
      <c r="AE6" s="12"/>
      <c r="AF6" s="12"/>
      <c r="AG6" s="12"/>
      <c r="AH6" s="12"/>
      <c r="AI6" s="12"/>
      <c r="AJ6" s="12"/>
      <c r="AK6" s="12"/>
      <c r="AL6" s="12"/>
    </row>
    <row r="7" spans="2:38" x14ac:dyDescent="0.15">
      <c r="B7" s="22"/>
      <c r="C7" s="22"/>
      <c r="D7" s="233"/>
      <c r="E7" s="22"/>
      <c r="F7" s="22"/>
      <c r="G7" s="22"/>
      <c r="H7" s="22"/>
      <c r="I7" s="22"/>
      <c r="J7" s="22"/>
      <c r="K7" s="22"/>
      <c r="AC7" s="12"/>
      <c r="AD7" s="30"/>
      <c r="AE7" s="12"/>
      <c r="AF7" s="12"/>
      <c r="AG7" s="12"/>
      <c r="AH7" s="12"/>
      <c r="AI7" s="12"/>
      <c r="AJ7" s="12"/>
      <c r="AK7" s="12"/>
      <c r="AL7" s="12"/>
    </row>
    <row r="8" spans="2:38" x14ac:dyDescent="0.15">
      <c r="B8" s="22"/>
      <c r="C8" s="22"/>
      <c r="D8" s="22"/>
      <c r="E8" s="22"/>
      <c r="F8" s="22"/>
      <c r="G8" s="22"/>
      <c r="H8" s="22"/>
      <c r="I8" s="22"/>
      <c r="J8" s="22"/>
      <c r="K8" s="22"/>
      <c r="AC8" s="12"/>
      <c r="AD8" s="30"/>
      <c r="AE8" s="12"/>
      <c r="AF8" s="12"/>
      <c r="AG8" s="12"/>
      <c r="AH8" s="12"/>
      <c r="AI8" s="12"/>
      <c r="AJ8" s="12"/>
      <c r="AK8" s="12"/>
      <c r="AL8" s="12"/>
    </row>
    <row r="9" spans="2:38" x14ac:dyDescent="0.15">
      <c r="B9" s="22"/>
      <c r="C9" s="22"/>
      <c r="D9" s="22"/>
      <c r="E9" s="22"/>
      <c r="F9" s="22"/>
      <c r="G9" s="22"/>
      <c r="H9" s="22"/>
      <c r="I9" s="22"/>
      <c r="J9" s="22"/>
      <c r="K9" s="22"/>
      <c r="AC9" s="12"/>
      <c r="AD9" s="30"/>
      <c r="AE9" s="12"/>
      <c r="AF9" s="12"/>
      <c r="AG9" s="12"/>
      <c r="AH9" s="12"/>
      <c r="AI9" s="12"/>
      <c r="AJ9" s="12"/>
      <c r="AK9" s="12"/>
      <c r="AL9" s="12"/>
    </row>
    <row r="10" spans="2:38" x14ac:dyDescent="0.15">
      <c r="B10" s="22"/>
      <c r="C10" s="22"/>
      <c r="D10" s="233"/>
      <c r="E10" s="22"/>
      <c r="F10" s="22"/>
      <c r="G10" s="22"/>
      <c r="H10" s="22"/>
      <c r="I10" s="22"/>
      <c r="J10" s="22"/>
      <c r="K10" s="22"/>
      <c r="AC10" s="12"/>
      <c r="AD10" s="30"/>
      <c r="AE10" s="12"/>
      <c r="AF10" s="12"/>
      <c r="AG10" s="12"/>
      <c r="AH10" s="12"/>
      <c r="AI10" s="12"/>
      <c r="AJ10" s="12"/>
      <c r="AK10" s="12"/>
      <c r="AL10" s="12"/>
    </row>
    <row r="11" spans="2:38" x14ac:dyDescent="0.15">
      <c r="B11" s="22"/>
      <c r="C11" s="22"/>
      <c r="D11" s="233"/>
      <c r="E11" s="22"/>
      <c r="F11" s="22"/>
      <c r="G11" s="22"/>
      <c r="H11" s="22"/>
      <c r="I11" s="22"/>
      <c r="J11" s="22"/>
      <c r="K11" s="22"/>
      <c r="AC11" s="12"/>
      <c r="AD11" s="30"/>
      <c r="AE11" s="12"/>
      <c r="AF11" s="12"/>
      <c r="AG11" s="12"/>
      <c r="AH11" s="12"/>
      <c r="AI11" s="12"/>
      <c r="AJ11" s="12"/>
      <c r="AK11" s="12"/>
      <c r="AL11" s="12"/>
    </row>
    <row r="12" spans="2:38" x14ac:dyDescent="0.15">
      <c r="B12" s="22"/>
      <c r="C12" s="22"/>
      <c r="D12" s="233"/>
      <c r="E12" s="22"/>
      <c r="F12" s="22"/>
      <c r="G12" s="22"/>
      <c r="H12" s="22"/>
      <c r="I12" s="22"/>
      <c r="J12" s="22"/>
      <c r="K12" s="22"/>
      <c r="AC12" s="12"/>
      <c r="AD12" s="30"/>
      <c r="AE12" s="12"/>
      <c r="AF12" s="12"/>
      <c r="AG12" s="12"/>
      <c r="AH12" s="12"/>
      <c r="AI12" s="12"/>
      <c r="AJ12" s="12"/>
      <c r="AK12" s="12"/>
      <c r="AL12" s="12"/>
    </row>
    <row r="13" spans="2:38" x14ac:dyDescent="0.15">
      <c r="B13" s="22"/>
      <c r="C13" s="22"/>
      <c r="D13" s="233"/>
      <c r="E13" s="22"/>
      <c r="F13" s="22"/>
      <c r="G13" s="22"/>
      <c r="H13" s="22"/>
      <c r="I13" s="22"/>
      <c r="J13" s="22"/>
      <c r="K13" s="22"/>
      <c r="AC13" s="12"/>
      <c r="AD13" s="30"/>
      <c r="AE13" s="12"/>
      <c r="AF13" s="12"/>
      <c r="AG13" s="12"/>
      <c r="AH13" s="12"/>
      <c r="AI13" s="12"/>
      <c r="AJ13" s="12"/>
      <c r="AK13" s="12"/>
      <c r="AL13" s="12"/>
    </row>
    <row r="14" spans="2:38" x14ac:dyDescent="0.15">
      <c r="B14" s="22"/>
      <c r="C14" s="22"/>
      <c r="D14" s="22"/>
      <c r="E14" s="22"/>
      <c r="F14" s="22"/>
      <c r="G14" s="22"/>
      <c r="H14" s="22"/>
      <c r="I14" s="22"/>
      <c r="J14" s="22"/>
      <c r="K14" s="22"/>
      <c r="AC14" s="12"/>
      <c r="AD14" s="30"/>
      <c r="AE14" s="12"/>
      <c r="AF14" s="12"/>
      <c r="AG14" s="12"/>
      <c r="AH14" s="12"/>
      <c r="AI14" s="12"/>
      <c r="AJ14" s="12"/>
      <c r="AK14" s="12"/>
      <c r="AL14" s="12"/>
    </row>
    <row r="15" spans="2:38" x14ac:dyDescent="0.15">
      <c r="B15" s="22"/>
      <c r="C15" s="22"/>
      <c r="D15" s="22"/>
      <c r="E15" s="22"/>
      <c r="F15" s="22"/>
      <c r="G15" s="22"/>
      <c r="H15" s="22"/>
      <c r="I15" s="22"/>
      <c r="J15" s="22"/>
      <c r="K15" s="22"/>
      <c r="AC15" s="12"/>
      <c r="AD15" s="30"/>
      <c r="AE15" s="12"/>
      <c r="AF15" s="12"/>
      <c r="AG15" s="12"/>
      <c r="AH15" s="12"/>
      <c r="AI15" s="12"/>
      <c r="AJ15" s="12"/>
      <c r="AK15" s="12"/>
      <c r="AL15" s="12"/>
    </row>
    <row r="16" spans="2:38" x14ac:dyDescent="0.15">
      <c r="B16" s="22"/>
      <c r="C16" s="22"/>
      <c r="D16" s="22"/>
      <c r="E16" s="22"/>
      <c r="F16" s="22"/>
      <c r="G16" s="22"/>
      <c r="H16" s="166"/>
      <c r="I16" s="166"/>
      <c r="J16" s="22"/>
      <c r="K16" s="166"/>
      <c r="AC16" s="12"/>
      <c r="AD16" s="30"/>
      <c r="AE16" s="12"/>
      <c r="AF16" s="12"/>
      <c r="AG16" s="12"/>
      <c r="AH16" s="12"/>
      <c r="AI16" s="12"/>
      <c r="AJ16" s="12"/>
      <c r="AK16" s="12"/>
      <c r="AL16" s="12"/>
    </row>
    <row r="17" spans="2:38" x14ac:dyDescent="0.15">
      <c r="B17" s="22"/>
      <c r="C17" s="22"/>
      <c r="D17" s="22"/>
      <c r="E17" s="22"/>
      <c r="F17" s="22"/>
      <c r="G17" s="22"/>
      <c r="H17" s="166"/>
      <c r="I17" s="166"/>
      <c r="J17" s="22"/>
      <c r="K17" s="166"/>
      <c r="AC17" s="12"/>
      <c r="AD17" s="30"/>
      <c r="AE17" s="12"/>
      <c r="AF17" s="12"/>
      <c r="AG17" s="12"/>
      <c r="AH17" s="12"/>
      <c r="AI17" s="12"/>
      <c r="AJ17" s="12"/>
      <c r="AK17" s="12"/>
      <c r="AL17" s="12"/>
    </row>
    <row r="18" spans="2:38" x14ac:dyDescent="0.15">
      <c r="B18" s="22"/>
      <c r="C18" s="22"/>
      <c r="D18" s="22"/>
      <c r="E18" s="22"/>
      <c r="F18" s="22"/>
      <c r="G18" s="22"/>
      <c r="H18" s="166"/>
      <c r="I18" s="166"/>
      <c r="J18" s="22"/>
      <c r="K18" s="166"/>
    </row>
  </sheetData>
  <sortState ref="AC2:AL8">
    <sortCondition ref="AC2:AC8"/>
    <sortCondition ref="AD2:AD8"/>
    <sortCondition ref="AL2:AL8"/>
  </sortState>
  <mergeCells count="3">
    <mergeCell ref="J3:K3"/>
    <mergeCell ref="E3:F3"/>
    <mergeCell ref="B1:K1"/>
  </mergeCells>
  <phoneticPr fontId="27" type="noConversion"/>
  <pageMargins left="0.31496062992125984" right="0.31496062992125984" top="0.74803149606299213" bottom="0.74803149606299213" header="0.31496062992125984" footer="0.31496062992125984"/>
  <pageSetup paperSize="9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31745" r:id="rId4" name="btn_QUery">
          <controlPr print="0" autoLine="0" r:id="rId5">
            <anchor moveWithCells="1">
              <from>
                <xdr:col>11</xdr:col>
                <xdr:colOff>523875</xdr:colOff>
                <xdr:row>0</xdr:row>
                <xdr:rowOff>0</xdr:rowOff>
              </from>
              <to>
                <xdr:col>12</xdr:col>
                <xdr:colOff>447675</xdr:colOff>
                <xdr:row>0</xdr:row>
                <xdr:rowOff>228600</xdr:rowOff>
              </to>
            </anchor>
          </controlPr>
        </control>
      </mc:Choice>
      <mc:Fallback>
        <control shapeId="31745" r:id="rId4" name="btn_QUery"/>
      </mc:Fallback>
    </mc:AlternateContent>
    <mc:AlternateContent xmlns:mc="http://schemas.openxmlformats.org/markup-compatibility/2006">
      <mc:Choice Requires="x14">
        <control shapeId="31746" r:id="rId6" name="cmd_Back">
          <controlPr print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31746" r:id="rId6" name="cmd_Back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I218"/>
  <sheetViews>
    <sheetView showGridLines="0" showZero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4" sqref="J14"/>
    </sheetView>
  </sheetViews>
  <sheetFormatPr defaultRowHeight="13.5" x14ac:dyDescent="0.15"/>
  <cols>
    <col min="1" max="1" width="8.625" customWidth="1"/>
    <col min="2" max="2" width="11" style="1" customWidth="1"/>
    <col min="3" max="3" width="20.5" customWidth="1"/>
    <col min="4" max="4" width="5.75" style="123" bestFit="1" customWidth="1"/>
    <col min="5" max="9" width="9.625" customWidth="1"/>
    <col min="10" max="10" width="5.75" style="123" bestFit="1" customWidth="1"/>
    <col min="11" max="11" width="9.625" customWidth="1"/>
    <col min="25" max="35" width="9" hidden="1" customWidth="1"/>
    <col min="36" max="36" width="0" hidden="1" customWidth="1"/>
  </cols>
  <sheetData>
    <row r="1" spans="1:35" ht="24" customHeight="1" x14ac:dyDescent="0.15">
      <c r="A1" s="139"/>
      <c r="B1" s="298" t="s">
        <v>4</v>
      </c>
      <c r="C1" s="298"/>
      <c r="D1" s="298"/>
      <c r="E1" s="298"/>
      <c r="F1" s="298"/>
      <c r="G1" s="298"/>
      <c r="H1" s="298"/>
      <c r="I1" s="298"/>
      <c r="J1" s="298"/>
      <c r="K1" s="298"/>
      <c r="Y1" s="86" t="s">
        <v>667</v>
      </c>
      <c r="Z1" s="86" t="s">
        <v>677</v>
      </c>
      <c r="AA1" s="86" t="s">
        <v>668</v>
      </c>
      <c r="AB1" s="86" t="s">
        <v>669</v>
      </c>
      <c r="AC1" s="86" t="s">
        <v>670</v>
      </c>
      <c r="AD1" s="86" t="s">
        <v>671</v>
      </c>
      <c r="AE1" s="86" t="s">
        <v>672</v>
      </c>
      <c r="AF1" s="86" t="s">
        <v>673</v>
      </c>
      <c r="AG1" s="86" t="s">
        <v>674</v>
      </c>
      <c r="AH1" s="86" t="s">
        <v>675</v>
      </c>
      <c r="AI1" s="86" t="s">
        <v>676</v>
      </c>
    </row>
    <row r="2" spans="1:35" ht="18" customHeight="1" x14ac:dyDescent="0.15">
      <c r="A2" s="45"/>
      <c r="B2" s="222" t="s">
        <v>842</v>
      </c>
      <c r="C2" s="220"/>
      <c r="D2" s="220"/>
      <c r="E2" s="220"/>
      <c r="F2" s="220"/>
      <c r="G2" s="220"/>
      <c r="H2" s="220"/>
      <c r="I2" s="220"/>
      <c r="J2" s="222" t="s">
        <v>778</v>
      </c>
      <c r="K2" s="220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</row>
    <row r="3" spans="1:35" x14ac:dyDescent="0.15">
      <c r="A3" s="22"/>
      <c r="B3" s="223" t="s">
        <v>803</v>
      </c>
      <c r="C3" s="223" t="s">
        <v>811</v>
      </c>
      <c r="D3" s="223" t="s">
        <v>816</v>
      </c>
      <c r="E3" s="223" t="s">
        <v>817</v>
      </c>
      <c r="F3" s="223" t="s">
        <v>812</v>
      </c>
      <c r="G3" s="223" t="s">
        <v>813</v>
      </c>
      <c r="H3" s="223" t="s">
        <v>814</v>
      </c>
      <c r="I3" s="223" t="s">
        <v>815</v>
      </c>
      <c r="J3" s="223" t="s">
        <v>816</v>
      </c>
      <c r="K3" s="223" t="s">
        <v>818</v>
      </c>
      <c r="L3" s="12"/>
      <c r="M3" s="12"/>
      <c r="N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</row>
    <row r="4" spans="1:35" x14ac:dyDescent="0.15">
      <c r="B4" s="153" t="s">
        <v>89</v>
      </c>
      <c r="C4" s="154" t="s">
        <v>10</v>
      </c>
      <c r="D4" s="215" t="s">
        <v>706</v>
      </c>
      <c r="E4" s="154">
        <v>7000</v>
      </c>
      <c r="F4" s="154">
        <v>2260</v>
      </c>
      <c r="G4" s="154">
        <v>1130</v>
      </c>
      <c r="H4" s="154">
        <v>2260</v>
      </c>
      <c r="I4" s="154">
        <v>1130</v>
      </c>
      <c r="J4" s="215" t="s">
        <v>706</v>
      </c>
      <c r="K4" s="154">
        <v>8130</v>
      </c>
    </row>
    <row r="5" spans="1:35" x14ac:dyDescent="0.15">
      <c r="B5" s="157" t="s">
        <v>797</v>
      </c>
      <c r="C5" s="158" t="s">
        <v>796</v>
      </c>
      <c r="D5" s="216" t="s">
        <v>706</v>
      </c>
      <c r="E5" s="158">
        <v>7000</v>
      </c>
      <c r="F5" s="158">
        <v>2260</v>
      </c>
      <c r="G5" s="158">
        <v>1130</v>
      </c>
      <c r="H5" s="158">
        <v>2260</v>
      </c>
      <c r="I5" s="158">
        <v>1130</v>
      </c>
      <c r="J5" s="216" t="s">
        <v>706</v>
      </c>
      <c r="K5" s="158">
        <v>8130</v>
      </c>
    </row>
    <row r="6" spans="1:35" x14ac:dyDescent="0.15">
      <c r="B6" s="153" t="s">
        <v>98</v>
      </c>
      <c r="C6" s="154" t="s">
        <v>99</v>
      </c>
      <c r="D6" s="215" t="s">
        <v>839</v>
      </c>
      <c r="E6" s="154">
        <v>0</v>
      </c>
      <c r="F6" s="154">
        <v>1000</v>
      </c>
      <c r="G6" s="154">
        <v>0</v>
      </c>
      <c r="H6" s="154">
        <v>1000</v>
      </c>
      <c r="I6" s="154">
        <v>0</v>
      </c>
      <c r="J6" s="215" t="s">
        <v>706</v>
      </c>
      <c r="K6" s="154">
        <v>1000</v>
      </c>
    </row>
    <row r="7" spans="1:35" x14ac:dyDescent="0.15">
      <c r="B7" s="157" t="s">
        <v>134</v>
      </c>
      <c r="C7" s="158" t="s">
        <v>45</v>
      </c>
      <c r="D7" s="216" t="s">
        <v>839</v>
      </c>
      <c r="E7" s="158">
        <v>0</v>
      </c>
      <c r="F7" s="158">
        <v>130</v>
      </c>
      <c r="G7" s="158">
        <v>260</v>
      </c>
      <c r="H7" s="158">
        <v>130</v>
      </c>
      <c r="I7" s="158">
        <v>260</v>
      </c>
      <c r="J7" s="216" t="s">
        <v>826</v>
      </c>
      <c r="K7" s="158">
        <v>130</v>
      </c>
    </row>
    <row r="8" spans="1:35" x14ac:dyDescent="0.15">
      <c r="B8" s="153" t="s">
        <v>341</v>
      </c>
      <c r="C8" s="154" t="s">
        <v>562</v>
      </c>
      <c r="D8" s="215" t="s">
        <v>839</v>
      </c>
      <c r="E8" s="154">
        <v>0</v>
      </c>
      <c r="F8" s="154">
        <v>130</v>
      </c>
      <c r="G8" s="154">
        <v>260</v>
      </c>
      <c r="H8" s="154">
        <v>130</v>
      </c>
      <c r="I8" s="154">
        <v>260</v>
      </c>
      <c r="J8" s="215" t="s">
        <v>826</v>
      </c>
      <c r="K8" s="154">
        <v>130</v>
      </c>
    </row>
    <row r="9" spans="1:35" x14ac:dyDescent="0.15">
      <c r="B9" s="157" t="s">
        <v>343</v>
      </c>
      <c r="C9" s="158" t="s">
        <v>563</v>
      </c>
      <c r="D9" s="216" t="s">
        <v>839</v>
      </c>
      <c r="E9" s="158">
        <v>0</v>
      </c>
      <c r="F9" s="158">
        <v>130</v>
      </c>
      <c r="G9" s="158">
        <v>0</v>
      </c>
      <c r="H9" s="158">
        <v>130</v>
      </c>
      <c r="I9" s="158">
        <v>0</v>
      </c>
      <c r="J9" s="216" t="s">
        <v>706</v>
      </c>
      <c r="K9" s="158">
        <v>130</v>
      </c>
    </row>
    <row r="10" spans="1:35" x14ac:dyDescent="0.15">
      <c r="B10" s="153" t="s">
        <v>345</v>
      </c>
      <c r="C10" s="154" t="s">
        <v>564</v>
      </c>
      <c r="D10" s="215" t="s">
        <v>839</v>
      </c>
      <c r="E10" s="154">
        <v>0</v>
      </c>
      <c r="F10" s="154">
        <v>0</v>
      </c>
      <c r="G10" s="154">
        <v>260</v>
      </c>
      <c r="H10" s="154">
        <v>0</v>
      </c>
      <c r="I10" s="154">
        <v>260</v>
      </c>
      <c r="J10" s="215" t="s">
        <v>826</v>
      </c>
      <c r="K10" s="154">
        <v>260</v>
      </c>
    </row>
    <row r="11" spans="1:35" x14ac:dyDescent="0.15">
      <c r="B11" s="157" t="s">
        <v>140</v>
      </c>
      <c r="C11" s="158" t="s">
        <v>141</v>
      </c>
      <c r="D11" s="216" t="s">
        <v>826</v>
      </c>
      <c r="E11" s="158">
        <v>7000</v>
      </c>
      <c r="F11" s="158">
        <v>0</v>
      </c>
      <c r="G11" s="158">
        <v>0</v>
      </c>
      <c r="H11" s="158">
        <v>0</v>
      </c>
      <c r="I11" s="158">
        <v>0</v>
      </c>
      <c r="J11" s="216" t="s">
        <v>826</v>
      </c>
      <c r="K11" s="158">
        <v>7000</v>
      </c>
    </row>
    <row r="12" spans="1:35" x14ac:dyDescent="0.15">
      <c r="B12" s="153" t="s">
        <v>152</v>
      </c>
      <c r="C12" s="154" t="s">
        <v>60</v>
      </c>
      <c r="D12" s="215" t="s">
        <v>839</v>
      </c>
      <c r="E12" s="154">
        <v>0</v>
      </c>
      <c r="F12" s="154">
        <v>0</v>
      </c>
      <c r="G12" s="154">
        <v>2000</v>
      </c>
      <c r="H12" s="154">
        <v>0</v>
      </c>
      <c r="I12" s="154">
        <v>2000</v>
      </c>
      <c r="J12" s="215" t="s">
        <v>826</v>
      </c>
      <c r="K12" s="154">
        <v>2000</v>
      </c>
    </row>
    <row r="13" spans="1:35" x14ac:dyDescent="0.15">
      <c r="B13" s="155" t="s">
        <v>827</v>
      </c>
      <c r="C13" s="156"/>
      <c r="D13" s="217"/>
      <c r="E13" s="156"/>
      <c r="F13" s="156">
        <v>3390</v>
      </c>
      <c r="G13" s="156">
        <v>3390</v>
      </c>
      <c r="H13" s="156">
        <v>3390</v>
      </c>
      <c r="I13" s="156">
        <v>3390</v>
      </c>
      <c r="J13" s="217"/>
      <c r="K13" s="156"/>
    </row>
    <row r="14" spans="1:35" x14ac:dyDescent="0.15">
      <c r="B14" s="140"/>
      <c r="C14" s="22"/>
      <c r="D14" s="218"/>
      <c r="E14" s="22"/>
      <c r="F14" s="22"/>
      <c r="G14" s="22"/>
      <c r="H14" s="22"/>
      <c r="I14" s="22"/>
      <c r="J14" s="218"/>
      <c r="K14" s="22"/>
    </row>
    <row r="15" spans="1:35" x14ac:dyDescent="0.15">
      <c r="B15" s="140"/>
      <c r="C15" s="22"/>
      <c r="D15" s="218"/>
      <c r="E15" s="22"/>
      <c r="F15" s="22"/>
      <c r="G15" s="22"/>
      <c r="H15" s="22"/>
      <c r="I15" s="22"/>
      <c r="J15" s="218"/>
      <c r="K15" s="22"/>
    </row>
    <row r="16" spans="1:35" x14ac:dyDescent="0.15">
      <c r="B16" s="140"/>
      <c r="C16" s="22"/>
      <c r="D16" s="218"/>
      <c r="E16" s="22"/>
      <c r="F16" s="22"/>
      <c r="G16" s="22"/>
      <c r="H16" s="22"/>
      <c r="I16" s="22"/>
      <c r="J16" s="218"/>
      <c r="K16" s="22"/>
    </row>
    <row r="17" spans="2:11" x14ac:dyDescent="0.15">
      <c r="B17" s="140"/>
      <c r="C17" s="22"/>
      <c r="D17" s="218"/>
      <c r="E17" s="22"/>
      <c r="F17" s="22"/>
      <c r="G17" s="22"/>
      <c r="H17" s="22"/>
      <c r="I17" s="22"/>
      <c r="J17" s="218"/>
      <c r="K17" s="22"/>
    </row>
    <row r="18" spans="2:11" x14ac:dyDescent="0.15">
      <c r="B18" s="140"/>
      <c r="C18" s="22"/>
      <c r="D18" s="218"/>
      <c r="E18" s="22"/>
      <c r="F18" s="22"/>
      <c r="G18" s="22"/>
      <c r="H18" s="22"/>
      <c r="I18" s="22"/>
      <c r="J18" s="218"/>
      <c r="K18" s="22"/>
    </row>
    <row r="19" spans="2:11" x14ac:dyDescent="0.15">
      <c r="B19" s="140"/>
      <c r="C19" s="22"/>
      <c r="D19" s="218"/>
      <c r="E19" s="22"/>
      <c r="F19" s="22"/>
      <c r="G19" s="22"/>
      <c r="H19" s="22"/>
      <c r="I19" s="22"/>
      <c r="J19" s="218"/>
      <c r="K19" s="22"/>
    </row>
    <row r="20" spans="2:11" x14ac:dyDescent="0.15">
      <c r="B20" s="140"/>
      <c r="C20" s="22"/>
      <c r="D20" s="218"/>
      <c r="E20" s="22"/>
      <c r="F20" s="22"/>
      <c r="G20" s="22"/>
      <c r="H20" s="22"/>
      <c r="I20" s="22"/>
      <c r="J20" s="218"/>
      <c r="K20" s="22"/>
    </row>
    <row r="21" spans="2:11" x14ac:dyDescent="0.15">
      <c r="B21" s="140"/>
      <c r="C21" s="22"/>
      <c r="D21" s="218"/>
      <c r="E21" s="22"/>
      <c r="F21" s="22"/>
      <c r="G21" s="22"/>
      <c r="H21" s="22"/>
      <c r="I21" s="22"/>
      <c r="J21" s="218"/>
      <c r="K21" s="22"/>
    </row>
    <row r="22" spans="2:11" x14ac:dyDescent="0.15">
      <c r="B22" s="140"/>
      <c r="C22" s="22"/>
      <c r="D22" s="218"/>
      <c r="E22" s="22"/>
      <c r="F22" s="22"/>
      <c r="G22" s="22"/>
      <c r="H22" s="22"/>
      <c r="I22" s="22"/>
      <c r="J22" s="218"/>
      <c r="K22" s="22"/>
    </row>
    <row r="23" spans="2:11" x14ac:dyDescent="0.15">
      <c r="B23" s="140"/>
      <c r="C23" s="22"/>
      <c r="D23" s="218"/>
      <c r="E23" s="22"/>
      <c r="F23" s="22"/>
      <c r="G23" s="22"/>
      <c r="H23" s="22"/>
      <c r="I23" s="22"/>
      <c r="J23" s="218"/>
      <c r="K23" s="22"/>
    </row>
    <row r="24" spans="2:11" x14ac:dyDescent="0.15">
      <c r="B24" s="140"/>
      <c r="C24" s="22"/>
      <c r="D24" s="218"/>
      <c r="E24" s="22"/>
      <c r="F24" s="22"/>
      <c r="G24" s="22"/>
      <c r="H24" s="22"/>
      <c r="I24" s="22"/>
      <c r="J24" s="218"/>
      <c r="K24" s="22"/>
    </row>
    <row r="25" spans="2:11" x14ac:dyDescent="0.15">
      <c r="B25" s="140"/>
      <c r="C25" s="22"/>
      <c r="D25" s="218"/>
      <c r="E25" s="22"/>
      <c r="F25" s="22"/>
      <c r="G25" s="22"/>
      <c r="H25" s="22"/>
      <c r="I25" s="22"/>
      <c r="J25" s="218"/>
      <c r="K25" s="22"/>
    </row>
    <row r="26" spans="2:11" x14ac:dyDescent="0.15">
      <c r="B26" s="140"/>
      <c r="C26" s="22"/>
      <c r="D26" s="218"/>
      <c r="E26" s="22"/>
      <c r="F26" s="22"/>
      <c r="G26" s="22"/>
      <c r="H26" s="22"/>
      <c r="I26" s="22"/>
      <c r="J26" s="218"/>
      <c r="K26" s="22"/>
    </row>
    <row r="27" spans="2:11" x14ac:dyDescent="0.15">
      <c r="B27" s="140"/>
      <c r="C27" s="22"/>
      <c r="D27" s="218"/>
      <c r="E27" s="22"/>
      <c r="F27" s="22"/>
      <c r="G27" s="22"/>
      <c r="H27" s="22"/>
      <c r="I27" s="22"/>
      <c r="J27" s="218"/>
      <c r="K27" s="22"/>
    </row>
    <row r="28" spans="2:11" x14ac:dyDescent="0.15">
      <c r="B28" s="140"/>
      <c r="C28" s="22"/>
      <c r="D28" s="218"/>
      <c r="E28" s="22"/>
      <c r="F28" s="22"/>
      <c r="G28" s="22"/>
      <c r="H28" s="22"/>
      <c r="I28" s="22"/>
      <c r="J28" s="218"/>
      <c r="K28" s="22"/>
    </row>
    <row r="29" spans="2:11" x14ac:dyDescent="0.15">
      <c r="B29" s="140"/>
      <c r="C29" s="22"/>
      <c r="D29" s="218"/>
      <c r="E29" s="22"/>
      <c r="F29" s="22"/>
      <c r="G29" s="22"/>
      <c r="H29" s="22"/>
      <c r="I29" s="22"/>
      <c r="J29" s="218"/>
      <c r="K29" s="22"/>
    </row>
    <row r="30" spans="2:11" x14ac:dyDescent="0.15">
      <c r="B30" s="140"/>
      <c r="C30" s="22"/>
      <c r="D30" s="218"/>
      <c r="E30" s="22"/>
      <c r="F30" s="22"/>
      <c r="G30" s="22"/>
      <c r="H30" s="22"/>
      <c r="I30" s="22"/>
      <c r="J30" s="218"/>
      <c r="K30" s="22"/>
    </row>
    <row r="31" spans="2:11" x14ac:dyDescent="0.15">
      <c r="B31" s="140"/>
      <c r="C31" s="22"/>
      <c r="D31" s="218"/>
      <c r="E31" s="22"/>
      <c r="F31" s="22"/>
      <c r="G31" s="22"/>
      <c r="H31" s="22"/>
      <c r="I31" s="22"/>
      <c r="J31" s="218"/>
      <c r="K31" s="22"/>
    </row>
    <row r="32" spans="2:11" x14ac:dyDescent="0.15">
      <c r="B32" s="140"/>
      <c r="C32" s="22"/>
      <c r="D32" s="218"/>
      <c r="E32" s="22"/>
      <c r="F32" s="22"/>
      <c r="G32" s="22"/>
      <c r="H32" s="22"/>
      <c r="I32" s="22"/>
      <c r="J32" s="218"/>
      <c r="K32" s="22"/>
    </row>
    <row r="33" spans="2:11" x14ac:dyDescent="0.15">
      <c r="B33" s="140"/>
      <c r="C33" s="22"/>
      <c r="D33" s="218"/>
      <c r="E33" s="22"/>
      <c r="F33" s="22"/>
      <c r="G33" s="22"/>
      <c r="H33" s="22"/>
      <c r="I33" s="22"/>
      <c r="J33" s="218"/>
      <c r="K33" s="22"/>
    </row>
    <row r="34" spans="2:11" x14ac:dyDescent="0.15">
      <c r="B34" s="140"/>
      <c r="C34" s="22"/>
      <c r="D34" s="218"/>
      <c r="E34" s="22"/>
      <c r="F34" s="22"/>
      <c r="G34" s="22"/>
      <c r="H34" s="22"/>
      <c r="I34" s="22"/>
      <c r="J34" s="218"/>
      <c r="K34" s="22"/>
    </row>
    <row r="35" spans="2:11" x14ac:dyDescent="0.15">
      <c r="B35" s="140"/>
      <c r="C35" s="22"/>
      <c r="D35" s="218"/>
      <c r="E35" s="22"/>
      <c r="F35" s="22"/>
      <c r="G35" s="22"/>
      <c r="H35" s="22"/>
      <c r="I35" s="22"/>
      <c r="J35" s="218"/>
      <c r="K35" s="22"/>
    </row>
    <row r="36" spans="2:11" x14ac:dyDescent="0.15">
      <c r="B36" s="140"/>
      <c r="C36" s="22"/>
      <c r="D36" s="218"/>
      <c r="E36" s="22"/>
      <c r="F36" s="22"/>
      <c r="G36" s="22"/>
      <c r="H36" s="22"/>
      <c r="I36" s="22"/>
      <c r="J36" s="218"/>
      <c r="K36" s="22"/>
    </row>
    <row r="37" spans="2:11" x14ac:dyDescent="0.15">
      <c r="B37" s="140"/>
      <c r="C37" s="22"/>
      <c r="D37" s="218"/>
      <c r="E37" s="22"/>
      <c r="F37" s="22"/>
      <c r="G37" s="22"/>
      <c r="H37" s="22"/>
      <c r="I37" s="22"/>
      <c r="J37" s="218"/>
      <c r="K37" s="22"/>
    </row>
    <row r="38" spans="2:11" x14ac:dyDescent="0.15">
      <c r="B38" s="140"/>
      <c r="C38" s="22"/>
      <c r="D38" s="218"/>
      <c r="E38" s="22"/>
      <c r="F38" s="22"/>
      <c r="G38" s="22"/>
      <c r="H38" s="22"/>
      <c r="I38" s="22"/>
      <c r="J38" s="218"/>
      <c r="K38" s="22"/>
    </row>
    <row r="39" spans="2:11" x14ac:dyDescent="0.15">
      <c r="B39" s="140"/>
      <c r="C39" s="22"/>
      <c r="D39" s="218"/>
      <c r="E39" s="22"/>
      <c r="F39" s="22"/>
      <c r="G39" s="22"/>
      <c r="H39" s="22"/>
      <c r="I39" s="22"/>
      <c r="J39" s="218"/>
      <c r="K39" s="22"/>
    </row>
    <row r="40" spans="2:11" x14ac:dyDescent="0.15">
      <c r="B40" s="140"/>
      <c r="C40" s="22"/>
      <c r="D40" s="218"/>
      <c r="E40" s="22"/>
      <c r="F40" s="22"/>
      <c r="G40" s="22"/>
      <c r="H40" s="22"/>
      <c r="I40" s="22"/>
      <c r="J40" s="218"/>
      <c r="K40" s="22"/>
    </row>
    <row r="41" spans="2:11" x14ac:dyDescent="0.15">
      <c r="B41" s="140"/>
      <c r="C41" s="22"/>
      <c r="D41" s="218"/>
      <c r="E41" s="22"/>
      <c r="F41" s="22"/>
      <c r="G41" s="22"/>
      <c r="H41" s="22"/>
      <c r="I41" s="22"/>
      <c r="J41" s="218"/>
      <c r="K41" s="22"/>
    </row>
    <row r="42" spans="2:11" x14ac:dyDescent="0.15">
      <c r="B42" s="140"/>
      <c r="C42" s="22"/>
      <c r="D42" s="218"/>
      <c r="E42" s="22"/>
      <c r="F42" s="22"/>
      <c r="G42" s="22"/>
      <c r="H42" s="22"/>
      <c r="I42" s="22"/>
      <c r="J42" s="218"/>
      <c r="K42" s="22"/>
    </row>
    <row r="43" spans="2:11" x14ac:dyDescent="0.15">
      <c r="B43" s="140"/>
      <c r="C43" s="22"/>
      <c r="D43" s="218"/>
      <c r="E43" s="22"/>
      <c r="F43" s="22"/>
      <c r="G43" s="22"/>
      <c r="H43" s="22"/>
      <c r="I43" s="22"/>
      <c r="J43" s="218"/>
      <c r="K43" s="22"/>
    </row>
    <row r="44" spans="2:11" x14ac:dyDescent="0.15">
      <c r="B44" s="140"/>
      <c r="C44" s="22"/>
      <c r="D44" s="218"/>
      <c r="E44" s="22"/>
      <c r="F44" s="22"/>
      <c r="G44" s="22"/>
      <c r="H44" s="22"/>
      <c r="I44" s="22"/>
      <c r="J44" s="218"/>
      <c r="K44" s="22"/>
    </row>
    <row r="45" spans="2:11" x14ac:dyDescent="0.15">
      <c r="B45" s="140"/>
      <c r="C45" s="22"/>
      <c r="D45" s="218"/>
      <c r="E45" s="22"/>
      <c r="F45" s="22"/>
      <c r="G45" s="22"/>
      <c r="H45" s="22"/>
      <c r="I45" s="22"/>
      <c r="J45" s="218"/>
      <c r="K45" s="22"/>
    </row>
    <row r="46" spans="2:11" x14ac:dyDescent="0.15">
      <c r="B46" s="140"/>
      <c r="C46" s="22"/>
      <c r="D46" s="218"/>
      <c r="E46" s="22"/>
      <c r="F46" s="22"/>
      <c r="G46" s="22"/>
      <c r="H46" s="22"/>
      <c r="I46" s="22"/>
      <c r="J46" s="218"/>
      <c r="K46" s="22"/>
    </row>
    <row r="47" spans="2:11" x14ac:dyDescent="0.15">
      <c r="B47" s="140"/>
      <c r="C47" s="22"/>
      <c r="D47" s="218"/>
      <c r="E47" s="22"/>
      <c r="F47" s="22"/>
      <c r="G47" s="22"/>
      <c r="H47" s="22"/>
      <c r="I47" s="22"/>
      <c r="J47" s="218"/>
      <c r="K47" s="22"/>
    </row>
    <row r="48" spans="2:11" x14ac:dyDescent="0.15">
      <c r="B48" s="140"/>
      <c r="C48" s="22"/>
      <c r="D48" s="218"/>
      <c r="E48" s="22"/>
      <c r="F48" s="22"/>
      <c r="G48" s="22"/>
      <c r="H48" s="22"/>
      <c r="I48" s="22"/>
      <c r="J48" s="218"/>
      <c r="K48" s="22"/>
    </row>
    <row r="49" spans="2:11" x14ac:dyDescent="0.15">
      <c r="B49" s="140"/>
      <c r="C49" s="22"/>
      <c r="D49" s="218"/>
      <c r="E49" s="22"/>
      <c r="F49" s="22"/>
      <c r="G49" s="22"/>
      <c r="H49" s="22"/>
      <c r="I49" s="22"/>
      <c r="J49" s="218"/>
      <c r="K49" s="22"/>
    </row>
    <row r="50" spans="2:11" x14ac:dyDescent="0.15">
      <c r="B50" s="140"/>
      <c r="C50" s="22"/>
      <c r="D50" s="218"/>
      <c r="E50" s="22"/>
      <c r="F50" s="22"/>
      <c r="G50" s="22"/>
      <c r="H50" s="22"/>
      <c r="I50" s="22"/>
      <c r="J50" s="218"/>
      <c r="K50" s="22"/>
    </row>
    <row r="51" spans="2:11" x14ac:dyDescent="0.15">
      <c r="B51" s="140"/>
      <c r="C51" s="22"/>
      <c r="D51" s="218"/>
      <c r="E51" s="22"/>
      <c r="F51" s="22"/>
      <c r="G51" s="22"/>
      <c r="H51" s="22"/>
      <c r="I51" s="22"/>
      <c r="J51" s="218"/>
      <c r="K51" s="22"/>
    </row>
    <row r="52" spans="2:11" x14ac:dyDescent="0.15">
      <c r="B52" s="140"/>
      <c r="C52" s="22"/>
      <c r="D52" s="218"/>
      <c r="E52" s="22"/>
      <c r="F52" s="22"/>
      <c r="G52" s="22"/>
      <c r="H52" s="22"/>
      <c r="I52" s="22"/>
      <c r="J52" s="218"/>
      <c r="K52" s="22"/>
    </row>
    <row r="53" spans="2:11" x14ac:dyDescent="0.15">
      <c r="B53" s="140"/>
      <c r="C53" s="22"/>
      <c r="D53" s="218"/>
      <c r="E53" s="22"/>
      <c r="F53" s="22"/>
      <c r="G53" s="22"/>
      <c r="H53" s="22"/>
      <c r="I53" s="22"/>
      <c r="J53" s="218"/>
      <c r="K53" s="22"/>
    </row>
    <row r="54" spans="2:11" x14ac:dyDescent="0.15">
      <c r="B54" s="140"/>
      <c r="C54" s="22"/>
      <c r="D54" s="218"/>
      <c r="E54" s="22"/>
      <c r="F54" s="22"/>
      <c r="G54" s="22"/>
      <c r="H54" s="22"/>
      <c r="I54" s="22"/>
      <c r="J54" s="218"/>
      <c r="K54" s="22"/>
    </row>
    <row r="55" spans="2:11" x14ac:dyDescent="0.15">
      <c r="B55" s="140"/>
      <c r="C55" s="22"/>
      <c r="D55" s="218"/>
      <c r="E55" s="22"/>
      <c r="F55" s="22"/>
      <c r="G55" s="22"/>
      <c r="H55" s="22"/>
      <c r="I55" s="22"/>
      <c r="J55" s="218"/>
      <c r="K55" s="22"/>
    </row>
    <row r="56" spans="2:11" x14ac:dyDescent="0.15">
      <c r="B56" s="140"/>
      <c r="C56" s="22"/>
      <c r="D56" s="218"/>
      <c r="E56" s="22"/>
      <c r="F56" s="22"/>
      <c r="G56" s="22"/>
      <c r="H56" s="22"/>
      <c r="I56" s="22"/>
      <c r="J56" s="218"/>
      <c r="K56" s="22"/>
    </row>
    <row r="57" spans="2:11" x14ac:dyDescent="0.15">
      <c r="B57" s="140"/>
      <c r="C57" s="22"/>
      <c r="D57" s="218"/>
      <c r="E57" s="22"/>
      <c r="F57" s="22"/>
      <c r="G57" s="22"/>
      <c r="H57" s="22"/>
      <c r="I57" s="22"/>
      <c r="J57" s="218"/>
      <c r="K57" s="22"/>
    </row>
    <row r="58" spans="2:11" x14ac:dyDescent="0.15">
      <c r="B58" s="140"/>
      <c r="C58" s="22"/>
      <c r="D58" s="218"/>
      <c r="E58" s="22"/>
      <c r="F58" s="22"/>
      <c r="G58" s="22"/>
      <c r="H58" s="22"/>
      <c r="I58" s="22"/>
      <c r="J58" s="218"/>
      <c r="K58" s="22"/>
    </row>
    <row r="59" spans="2:11" x14ac:dyDescent="0.15">
      <c r="B59" s="140"/>
      <c r="C59" s="22"/>
      <c r="D59" s="218"/>
      <c r="E59" s="22"/>
      <c r="F59" s="22"/>
      <c r="G59" s="22"/>
      <c r="H59" s="22"/>
      <c r="I59" s="22"/>
      <c r="J59" s="218"/>
      <c r="K59" s="22"/>
    </row>
    <row r="60" spans="2:11" x14ac:dyDescent="0.15">
      <c r="B60" s="140"/>
      <c r="C60" s="22"/>
      <c r="D60" s="218"/>
      <c r="E60" s="22"/>
      <c r="F60" s="22"/>
      <c r="G60" s="22"/>
      <c r="H60" s="22"/>
      <c r="I60" s="22"/>
      <c r="J60" s="218"/>
      <c r="K60" s="22"/>
    </row>
    <row r="61" spans="2:11" x14ac:dyDescent="0.15">
      <c r="B61" s="140"/>
      <c r="C61" s="22"/>
      <c r="D61" s="218"/>
      <c r="E61" s="22"/>
      <c r="F61" s="22"/>
      <c r="G61" s="22"/>
      <c r="H61" s="22"/>
      <c r="I61" s="22"/>
      <c r="J61" s="218"/>
      <c r="K61" s="22"/>
    </row>
    <row r="62" spans="2:11" x14ac:dyDescent="0.15">
      <c r="B62" s="140"/>
      <c r="C62" s="22"/>
      <c r="D62" s="218"/>
      <c r="E62" s="22"/>
      <c r="F62" s="22"/>
      <c r="G62" s="22"/>
      <c r="H62" s="22"/>
      <c r="I62" s="22"/>
      <c r="J62" s="218"/>
      <c r="K62" s="22"/>
    </row>
    <row r="63" spans="2:11" x14ac:dyDescent="0.15">
      <c r="B63" s="140"/>
      <c r="C63" s="22"/>
      <c r="D63" s="218"/>
      <c r="E63" s="22"/>
      <c r="F63" s="22"/>
      <c r="G63" s="22"/>
      <c r="H63" s="22"/>
      <c r="I63" s="22"/>
      <c r="J63" s="218"/>
      <c r="K63" s="22"/>
    </row>
    <row r="64" spans="2:11" x14ac:dyDescent="0.15">
      <c r="B64" s="140"/>
      <c r="C64" s="22"/>
      <c r="D64" s="218"/>
      <c r="E64" s="22"/>
      <c r="F64" s="22"/>
      <c r="G64" s="22"/>
      <c r="H64" s="22"/>
      <c r="I64" s="22"/>
      <c r="J64" s="218"/>
      <c r="K64" s="22"/>
    </row>
    <row r="65" spans="2:11" x14ac:dyDescent="0.15">
      <c r="B65" s="140"/>
      <c r="C65" s="22"/>
      <c r="D65" s="218"/>
      <c r="E65" s="22"/>
      <c r="F65" s="22"/>
      <c r="G65" s="22"/>
      <c r="H65" s="22"/>
      <c r="I65" s="22"/>
      <c r="J65" s="218"/>
      <c r="K65" s="22"/>
    </row>
    <row r="66" spans="2:11" x14ac:dyDescent="0.15">
      <c r="B66" s="140"/>
      <c r="C66" s="22"/>
      <c r="D66" s="218"/>
      <c r="E66" s="22"/>
      <c r="F66" s="22"/>
      <c r="G66" s="22"/>
      <c r="H66" s="22"/>
      <c r="I66" s="22"/>
      <c r="J66" s="218"/>
      <c r="K66" s="22"/>
    </row>
    <row r="67" spans="2:11" x14ac:dyDescent="0.15">
      <c r="B67" s="140"/>
      <c r="C67" s="22"/>
      <c r="D67" s="218"/>
      <c r="E67" s="22"/>
      <c r="F67" s="22"/>
      <c r="G67" s="22"/>
      <c r="H67" s="22"/>
      <c r="I67" s="22"/>
      <c r="J67" s="218"/>
      <c r="K67" s="22"/>
    </row>
    <row r="68" spans="2:11" x14ac:dyDescent="0.15">
      <c r="B68" s="140"/>
      <c r="C68" s="22"/>
      <c r="D68" s="218"/>
      <c r="E68" s="22"/>
      <c r="F68" s="22"/>
      <c r="G68" s="22"/>
      <c r="H68" s="22"/>
      <c r="I68" s="22"/>
      <c r="J68" s="218"/>
      <c r="K68" s="22"/>
    </row>
    <row r="69" spans="2:11" x14ac:dyDescent="0.15">
      <c r="B69" s="140"/>
      <c r="C69" s="22"/>
      <c r="D69" s="218"/>
      <c r="E69" s="22"/>
      <c r="F69" s="22"/>
      <c r="G69" s="22"/>
      <c r="H69" s="22"/>
      <c r="I69" s="22"/>
      <c r="J69" s="218"/>
      <c r="K69" s="22"/>
    </row>
    <row r="70" spans="2:11" x14ac:dyDescent="0.15">
      <c r="B70" s="140"/>
      <c r="C70" s="22"/>
      <c r="D70" s="218"/>
      <c r="E70" s="22"/>
      <c r="F70" s="22"/>
      <c r="G70" s="22"/>
      <c r="H70" s="22"/>
      <c r="I70" s="22"/>
      <c r="J70" s="218"/>
      <c r="K70" s="22"/>
    </row>
    <row r="71" spans="2:11" x14ac:dyDescent="0.15">
      <c r="B71" s="140"/>
      <c r="C71" s="22"/>
      <c r="D71" s="218"/>
      <c r="E71" s="22"/>
      <c r="F71" s="22"/>
      <c r="G71" s="22"/>
      <c r="H71" s="22"/>
      <c r="I71" s="22"/>
      <c r="J71" s="218"/>
      <c r="K71" s="22"/>
    </row>
    <row r="72" spans="2:11" x14ac:dyDescent="0.15">
      <c r="B72" s="140"/>
      <c r="C72" s="22"/>
      <c r="D72" s="218"/>
      <c r="E72" s="22"/>
      <c r="F72" s="22"/>
      <c r="G72" s="22"/>
      <c r="H72" s="22"/>
      <c r="I72" s="22"/>
      <c r="J72" s="218"/>
      <c r="K72" s="22"/>
    </row>
    <row r="73" spans="2:11" x14ac:dyDescent="0.15">
      <c r="B73" s="140"/>
      <c r="C73" s="22"/>
      <c r="D73" s="218"/>
      <c r="E73" s="22"/>
      <c r="F73" s="22"/>
      <c r="G73" s="22"/>
      <c r="H73" s="22"/>
      <c r="I73" s="22"/>
      <c r="J73" s="218"/>
      <c r="K73" s="22"/>
    </row>
    <row r="74" spans="2:11" x14ac:dyDescent="0.15">
      <c r="B74" s="140"/>
      <c r="C74" s="22"/>
      <c r="D74" s="218"/>
      <c r="E74" s="22"/>
      <c r="F74" s="22"/>
      <c r="G74" s="22"/>
      <c r="H74" s="22"/>
      <c r="I74" s="22"/>
      <c r="J74" s="218"/>
      <c r="K74" s="22"/>
    </row>
    <row r="75" spans="2:11" x14ac:dyDescent="0.15">
      <c r="B75" s="140"/>
      <c r="C75" s="22"/>
      <c r="D75" s="218"/>
      <c r="E75" s="22"/>
      <c r="F75" s="22"/>
      <c r="G75" s="22"/>
      <c r="H75" s="22"/>
      <c r="I75" s="22"/>
      <c r="J75" s="218"/>
      <c r="K75" s="22"/>
    </row>
    <row r="76" spans="2:11" x14ac:dyDescent="0.15">
      <c r="B76" s="140"/>
      <c r="C76" s="22"/>
      <c r="D76" s="218"/>
      <c r="E76" s="22"/>
      <c r="F76" s="22"/>
      <c r="G76" s="22"/>
      <c r="H76" s="22"/>
      <c r="I76" s="22"/>
      <c r="J76" s="218"/>
      <c r="K76" s="22"/>
    </row>
    <row r="77" spans="2:11" x14ac:dyDescent="0.15">
      <c r="B77" s="140"/>
      <c r="C77" s="22"/>
      <c r="D77" s="218"/>
      <c r="E77" s="22"/>
      <c r="F77" s="22"/>
      <c r="G77" s="22"/>
      <c r="H77" s="22"/>
      <c r="I77" s="22"/>
      <c r="J77" s="218"/>
      <c r="K77" s="22"/>
    </row>
    <row r="78" spans="2:11" x14ac:dyDescent="0.15">
      <c r="B78" s="140"/>
      <c r="C78" s="22"/>
      <c r="D78" s="218"/>
      <c r="E78" s="22"/>
      <c r="F78" s="22"/>
      <c r="G78" s="22"/>
      <c r="H78" s="22"/>
      <c r="I78" s="22"/>
      <c r="J78" s="218"/>
      <c r="K78" s="22"/>
    </row>
    <row r="79" spans="2:11" x14ac:dyDescent="0.15">
      <c r="B79" s="140"/>
      <c r="C79" s="22"/>
      <c r="D79" s="218"/>
      <c r="E79" s="22"/>
      <c r="F79" s="22"/>
      <c r="G79" s="22"/>
      <c r="H79" s="22"/>
      <c r="I79" s="22"/>
      <c r="J79" s="218"/>
      <c r="K79" s="22"/>
    </row>
    <row r="80" spans="2:11" x14ac:dyDescent="0.15">
      <c r="B80" s="140"/>
      <c r="C80" s="22"/>
      <c r="D80" s="218"/>
      <c r="E80" s="22"/>
      <c r="F80" s="22"/>
      <c r="G80" s="22"/>
      <c r="H80" s="22"/>
      <c r="I80" s="22"/>
      <c r="J80" s="218"/>
      <c r="K80" s="22"/>
    </row>
    <row r="81" spans="2:11" x14ac:dyDescent="0.15">
      <c r="B81" s="140"/>
      <c r="C81" s="22"/>
      <c r="D81" s="218"/>
      <c r="E81" s="22"/>
      <c r="F81" s="22"/>
      <c r="G81" s="22"/>
      <c r="H81" s="22"/>
      <c r="I81" s="22"/>
      <c r="J81" s="218"/>
      <c r="K81" s="22"/>
    </row>
    <row r="82" spans="2:11" x14ac:dyDescent="0.15">
      <c r="B82" s="140"/>
      <c r="C82" s="22"/>
      <c r="D82" s="218"/>
      <c r="E82" s="22"/>
      <c r="F82" s="22"/>
      <c r="G82" s="22"/>
      <c r="H82" s="22"/>
      <c r="I82" s="22"/>
      <c r="J82" s="218"/>
      <c r="K82" s="22"/>
    </row>
    <row r="83" spans="2:11" x14ac:dyDescent="0.15">
      <c r="B83" s="140"/>
      <c r="C83" s="22"/>
      <c r="D83" s="218"/>
      <c r="E83" s="22"/>
      <c r="F83" s="22"/>
      <c r="G83" s="22"/>
      <c r="H83" s="22"/>
      <c r="I83" s="22"/>
      <c r="J83" s="218"/>
      <c r="K83" s="22"/>
    </row>
    <row r="84" spans="2:11" x14ac:dyDescent="0.15">
      <c r="B84" s="140"/>
      <c r="C84" s="22"/>
      <c r="D84" s="218"/>
      <c r="E84" s="22"/>
      <c r="F84" s="22"/>
      <c r="G84" s="22"/>
      <c r="H84" s="22"/>
      <c r="I84" s="22"/>
      <c r="J84" s="218"/>
      <c r="K84" s="22"/>
    </row>
    <row r="85" spans="2:11" x14ac:dyDescent="0.15">
      <c r="B85" s="140"/>
      <c r="C85" s="22"/>
      <c r="D85" s="218"/>
      <c r="E85" s="22"/>
      <c r="F85" s="22"/>
      <c r="G85" s="22"/>
      <c r="H85" s="22"/>
      <c r="I85" s="22"/>
      <c r="J85" s="218"/>
      <c r="K85" s="22"/>
    </row>
    <row r="86" spans="2:11" x14ac:dyDescent="0.15">
      <c r="B86" s="140"/>
      <c r="C86" s="22"/>
      <c r="D86" s="218"/>
      <c r="E86" s="22"/>
      <c r="F86" s="22"/>
      <c r="G86" s="22"/>
      <c r="H86" s="22"/>
      <c r="I86" s="22"/>
      <c r="J86" s="218"/>
      <c r="K86" s="22"/>
    </row>
    <row r="87" spans="2:11" x14ac:dyDescent="0.15">
      <c r="B87" s="140"/>
      <c r="C87" s="22"/>
      <c r="D87" s="218"/>
      <c r="E87" s="22"/>
      <c r="F87" s="22"/>
      <c r="G87" s="22"/>
      <c r="H87" s="22"/>
      <c r="I87" s="22"/>
      <c r="J87" s="218"/>
      <c r="K87" s="22"/>
    </row>
    <row r="88" spans="2:11" x14ac:dyDescent="0.15">
      <c r="B88" s="140"/>
      <c r="C88" s="22"/>
      <c r="D88" s="218"/>
      <c r="E88" s="22"/>
      <c r="F88" s="22"/>
      <c r="G88" s="22"/>
      <c r="H88" s="22"/>
      <c r="I88" s="22"/>
      <c r="J88" s="218"/>
      <c r="K88" s="22"/>
    </row>
    <row r="89" spans="2:11" x14ac:dyDescent="0.15">
      <c r="B89" s="140"/>
      <c r="C89" s="22"/>
      <c r="D89" s="218"/>
      <c r="E89" s="22"/>
      <c r="F89" s="22"/>
      <c r="G89" s="22"/>
      <c r="H89" s="22"/>
      <c r="I89" s="22"/>
      <c r="J89" s="218"/>
      <c r="K89" s="22"/>
    </row>
    <row r="90" spans="2:11" x14ac:dyDescent="0.15">
      <c r="B90" s="140"/>
      <c r="C90" s="22"/>
      <c r="D90" s="218"/>
      <c r="E90" s="22"/>
      <c r="F90" s="22"/>
      <c r="G90" s="22"/>
      <c r="H90" s="22"/>
      <c r="I90" s="22"/>
      <c r="J90" s="218"/>
      <c r="K90" s="22"/>
    </row>
    <row r="91" spans="2:11" x14ac:dyDescent="0.15">
      <c r="B91" s="140"/>
      <c r="C91" s="22"/>
      <c r="D91" s="218"/>
      <c r="E91" s="22"/>
      <c r="F91" s="22"/>
      <c r="G91" s="22"/>
      <c r="H91" s="22"/>
      <c r="I91" s="22"/>
      <c r="J91" s="218"/>
      <c r="K91" s="22"/>
    </row>
    <row r="92" spans="2:11" x14ac:dyDescent="0.15">
      <c r="B92" s="140"/>
      <c r="C92" s="22"/>
      <c r="D92" s="218"/>
      <c r="E92" s="22"/>
      <c r="F92" s="22"/>
      <c r="G92" s="22"/>
      <c r="H92" s="22"/>
      <c r="I92" s="22"/>
      <c r="J92" s="218"/>
      <c r="K92" s="22"/>
    </row>
    <row r="93" spans="2:11" x14ac:dyDescent="0.15">
      <c r="B93" s="140"/>
      <c r="C93" s="22"/>
      <c r="D93" s="218"/>
      <c r="E93" s="22"/>
      <c r="F93" s="22"/>
      <c r="G93" s="22"/>
      <c r="H93" s="22"/>
      <c r="I93" s="22"/>
      <c r="J93" s="218"/>
      <c r="K93" s="22"/>
    </row>
    <row r="94" spans="2:11" x14ac:dyDescent="0.15">
      <c r="B94" s="140"/>
      <c r="C94" s="22"/>
      <c r="D94" s="218"/>
      <c r="E94" s="22"/>
      <c r="F94" s="22"/>
      <c r="G94" s="22"/>
      <c r="H94" s="22"/>
      <c r="I94" s="22"/>
      <c r="J94" s="218"/>
      <c r="K94" s="22"/>
    </row>
    <row r="95" spans="2:11" x14ac:dyDescent="0.15">
      <c r="B95" s="140"/>
      <c r="C95" s="22"/>
      <c r="D95" s="218"/>
      <c r="E95" s="22"/>
      <c r="F95" s="22"/>
      <c r="G95" s="22"/>
      <c r="H95" s="22"/>
      <c r="I95" s="22"/>
      <c r="J95" s="218"/>
      <c r="K95" s="22"/>
    </row>
    <row r="96" spans="2:11" x14ac:dyDescent="0.15">
      <c r="B96" s="140"/>
      <c r="C96" s="22"/>
      <c r="D96" s="218"/>
      <c r="E96" s="22"/>
      <c r="F96" s="22"/>
      <c r="G96" s="22"/>
      <c r="H96" s="22"/>
      <c r="I96" s="22"/>
      <c r="J96" s="218"/>
      <c r="K96" s="22"/>
    </row>
    <row r="97" spans="2:11" x14ac:dyDescent="0.15">
      <c r="B97" s="140"/>
      <c r="C97" s="22"/>
      <c r="D97" s="218"/>
      <c r="E97" s="22"/>
      <c r="F97" s="22"/>
      <c r="G97" s="22"/>
      <c r="H97" s="22"/>
      <c r="I97" s="22"/>
      <c r="J97" s="218"/>
      <c r="K97" s="22"/>
    </row>
    <row r="98" spans="2:11" x14ac:dyDescent="0.15">
      <c r="B98" s="140"/>
      <c r="C98" s="22"/>
      <c r="D98" s="218"/>
      <c r="E98" s="22"/>
      <c r="F98" s="22"/>
      <c r="G98" s="22"/>
      <c r="H98" s="22"/>
      <c r="I98" s="22"/>
      <c r="J98" s="218"/>
      <c r="K98" s="22"/>
    </row>
    <row r="99" spans="2:11" x14ac:dyDescent="0.15">
      <c r="B99" s="140"/>
      <c r="C99" s="22"/>
      <c r="D99" s="218"/>
      <c r="E99" s="22"/>
      <c r="F99" s="22"/>
      <c r="G99" s="22"/>
      <c r="H99" s="22"/>
      <c r="I99" s="22"/>
      <c r="J99" s="218"/>
      <c r="K99" s="22"/>
    </row>
    <row r="100" spans="2:11" x14ac:dyDescent="0.15">
      <c r="B100" s="140"/>
      <c r="C100" s="22"/>
      <c r="D100" s="218"/>
      <c r="E100" s="22"/>
      <c r="F100" s="22"/>
      <c r="G100" s="22"/>
      <c r="H100" s="22"/>
      <c r="I100" s="22"/>
      <c r="J100" s="218"/>
      <c r="K100" s="22"/>
    </row>
    <row r="101" spans="2:11" x14ac:dyDescent="0.15">
      <c r="B101" s="140"/>
      <c r="C101" s="22"/>
      <c r="D101" s="218"/>
      <c r="E101" s="22"/>
      <c r="F101" s="22"/>
      <c r="G101" s="22"/>
      <c r="H101" s="22"/>
      <c r="I101" s="22"/>
      <c r="J101" s="218"/>
      <c r="K101" s="22"/>
    </row>
    <row r="102" spans="2:11" x14ac:dyDescent="0.15">
      <c r="B102" s="140"/>
      <c r="C102" s="22"/>
      <c r="D102" s="218"/>
      <c r="E102" s="22"/>
      <c r="F102" s="22"/>
      <c r="G102" s="22"/>
      <c r="H102" s="22"/>
      <c r="I102" s="22"/>
      <c r="J102" s="218"/>
      <c r="K102" s="22"/>
    </row>
    <row r="103" spans="2:11" x14ac:dyDescent="0.15">
      <c r="B103" s="140"/>
      <c r="C103" s="22"/>
      <c r="D103" s="218"/>
      <c r="E103" s="22"/>
      <c r="F103" s="22"/>
      <c r="G103" s="22"/>
      <c r="H103" s="22"/>
      <c r="I103" s="22"/>
      <c r="J103" s="218"/>
      <c r="K103" s="22"/>
    </row>
    <row r="104" spans="2:11" x14ac:dyDescent="0.15">
      <c r="B104" s="140"/>
      <c r="C104" s="22"/>
      <c r="D104" s="218"/>
      <c r="E104" s="22"/>
      <c r="F104" s="22"/>
      <c r="G104" s="22"/>
      <c r="H104" s="22"/>
      <c r="I104" s="22"/>
      <c r="J104" s="218"/>
      <c r="K104" s="22"/>
    </row>
    <row r="105" spans="2:11" x14ac:dyDescent="0.15">
      <c r="B105" s="140"/>
      <c r="C105" s="22"/>
      <c r="D105" s="218"/>
      <c r="E105" s="22"/>
      <c r="F105" s="22"/>
      <c r="G105" s="22"/>
      <c r="H105" s="22"/>
      <c r="I105" s="22"/>
      <c r="J105" s="218"/>
      <c r="K105" s="22"/>
    </row>
    <row r="106" spans="2:11" x14ac:dyDescent="0.15">
      <c r="B106" s="140"/>
      <c r="C106" s="22"/>
      <c r="D106" s="218"/>
      <c r="E106" s="22"/>
      <c r="F106" s="22"/>
      <c r="G106" s="22"/>
      <c r="H106" s="22"/>
      <c r="I106" s="22"/>
      <c r="J106" s="218"/>
      <c r="K106" s="22"/>
    </row>
    <row r="107" spans="2:11" x14ac:dyDescent="0.15">
      <c r="B107" s="140"/>
      <c r="C107" s="22"/>
      <c r="D107" s="218"/>
      <c r="E107" s="22"/>
      <c r="F107" s="22"/>
      <c r="G107" s="22"/>
      <c r="H107" s="22"/>
      <c r="I107" s="22"/>
      <c r="J107" s="218"/>
      <c r="K107" s="22"/>
    </row>
    <row r="108" spans="2:11" x14ac:dyDescent="0.15">
      <c r="B108" s="140"/>
      <c r="C108" s="22"/>
      <c r="D108" s="218"/>
      <c r="E108" s="22"/>
      <c r="F108" s="22"/>
      <c r="G108" s="22"/>
      <c r="H108" s="22"/>
      <c r="I108" s="22"/>
      <c r="J108" s="218"/>
      <c r="K108" s="22"/>
    </row>
    <row r="109" spans="2:11" x14ac:dyDescent="0.15">
      <c r="B109" s="140"/>
      <c r="C109" s="22"/>
      <c r="D109" s="218"/>
      <c r="E109" s="22"/>
      <c r="F109" s="22"/>
      <c r="G109" s="22"/>
      <c r="H109" s="22"/>
      <c r="I109" s="22"/>
      <c r="J109" s="218"/>
      <c r="K109" s="22"/>
    </row>
    <row r="110" spans="2:11" x14ac:dyDescent="0.15">
      <c r="B110" s="140"/>
      <c r="C110" s="22"/>
      <c r="D110" s="218"/>
      <c r="E110" s="22"/>
      <c r="F110" s="22"/>
      <c r="G110" s="22"/>
      <c r="H110" s="22"/>
      <c r="I110" s="22"/>
      <c r="J110" s="218"/>
      <c r="K110" s="22"/>
    </row>
    <row r="111" spans="2:11" x14ac:dyDescent="0.15">
      <c r="B111" s="140"/>
      <c r="C111" s="22"/>
      <c r="D111" s="218"/>
      <c r="E111" s="22"/>
      <c r="F111" s="22"/>
      <c r="G111" s="22"/>
      <c r="H111" s="22"/>
      <c r="I111" s="22"/>
      <c r="J111" s="218"/>
      <c r="K111" s="22"/>
    </row>
    <row r="112" spans="2:11" x14ac:dyDescent="0.15">
      <c r="B112" s="140"/>
      <c r="C112" s="22"/>
      <c r="D112" s="218"/>
      <c r="E112" s="22"/>
      <c r="F112" s="22"/>
      <c r="G112" s="22"/>
      <c r="H112" s="22"/>
      <c r="I112" s="22"/>
      <c r="J112" s="218"/>
      <c r="K112" s="22"/>
    </row>
    <row r="113" spans="2:11" x14ac:dyDescent="0.15">
      <c r="B113" s="140"/>
      <c r="C113" s="22"/>
      <c r="D113" s="218"/>
      <c r="E113" s="22"/>
      <c r="F113" s="22"/>
      <c r="G113" s="22"/>
      <c r="H113" s="22"/>
      <c r="I113" s="22"/>
      <c r="J113" s="218"/>
      <c r="K113" s="22"/>
    </row>
    <row r="114" spans="2:11" x14ac:dyDescent="0.15">
      <c r="B114" s="140"/>
      <c r="C114" s="22"/>
      <c r="D114" s="218"/>
      <c r="E114" s="22"/>
      <c r="F114" s="22"/>
      <c r="G114" s="22"/>
      <c r="H114" s="22"/>
      <c r="I114" s="22"/>
      <c r="J114" s="218"/>
      <c r="K114" s="22"/>
    </row>
    <row r="115" spans="2:11" x14ac:dyDescent="0.15">
      <c r="B115" s="140"/>
      <c r="C115" s="22"/>
      <c r="D115" s="218"/>
      <c r="E115" s="22"/>
      <c r="F115" s="22"/>
      <c r="G115" s="22"/>
      <c r="H115" s="22"/>
      <c r="I115" s="22"/>
      <c r="J115" s="218"/>
      <c r="K115" s="22"/>
    </row>
    <row r="116" spans="2:11" x14ac:dyDescent="0.15">
      <c r="B116" s="140"/>
      <c r="C116" s="22"/>
      <c r="D116" s="218"/>
      <c r="E116" s="22"/>
      <c r="F116" s="22"/>
      <c r="G116" s="22"/>
      <c r="H116" s="22"/>
      <c r="I116" s="22"/>
      <c r="J116" s="218"/>
      <c r="K116" s="22"/>
    </row>
    <row r="117" spans="2:11" x14ac:dyDescent="0.15">
      <c r="B117" s="140"/>
      <c r="C117" s="22"/>
      <c r="D117" s="218"/>
      <c r="E117" s="22"/>
      <c r="F117" s="22"/>
      <c r="G117" s="22"/>
      <c r="H117" s="22"/>
      <c r="I117" s="22"/>
      <c r="J117" s="218"/>
      <c r="K117" s="22"/>
    </row>
    <row r="118" spans="2:11" x14ac:dyDescent="0.15">
      <c r="B118" s="140"/>
      <c r="C118" s="22"/>
      <c r="D118" s="218"/>
      <c r="E118" s="22"/>
      <c r="F118" s="22"/>
      <c r="G118" s="22"/>
      <c r="H118" s="22"/>
      <c r="I118" s="22"/>
      <c r="J118" s="218"/>
      <c r="K118" s="22"/>
    </row>
    <row r="119" spans="2:11" x14ac:dyDescent="0.15">
      <c r="B119" s="140"/>
      <c r="C119" s="22"/>
      <c r="D119" s="218"/>
      <c r="E119" s="22"/>
      <c r="F119" s="22"/>
      <c r="G119" s="22"/>
      <c r="H119" s="22"/>
      <c r="I119" s="22"/>
      <c r="J119" s="218"/>
      <c r="K119" s="22"/>
    </row>
    <row r="120" spans="2:11" x14ac:dyDescent="0.15">
      <c r="B120" s="140"/>
      <c r="C120" s="22"/>
      <c r="D120" s="218"/>
      <c r="E120" s="22"/>
      <c r="F120" s="22"/>
      <c r="G120" s="22"/>
      <c r="H120" s="22"/>
      <c r="I120" s="22"/>
      <c r="J120" s="218"/>
      <c r="K120" s="22"/>
    </row>
    <row r="121" spans="2:11" x14ac:dyDescent="0.15">
      <c r="B121" s="140"/>
      <c r="C121" s="22"/>
      <c r="D121" s="218"/>
      <c r="E121" s="22"/>
      <c r="F121" s="22"/>
      <c r="G121" s="22"/>
      <c r="H121" s="22"/>
      <c r="I121" s="22"/>
      <c r="J121" s="218"/>
      <c r="K121" s="22"/>
    </row>
    <row r="122" spans="2:11" x14ac:dyDescent="0.15">
      <c r="B122" s="140"/>
      <c r="C122" s="22"/>
      <c r="D122" s="218"/>
      <c r="E122" s="22"/>
      <c r="F122" s="22"/>
      <c r="G122" s="22"/>
      <c r="H122" s="22"/>
      <c r="I122" s="22"/>
      <c r="J122" s="218"/>
      <c r="K122" s="22"/>
    </row>
    <row r="123" spans="2:11" x14ac:dyDescent="0.15">
      <c r="B123" s="140"/>
      <c r="C123" s="22"/>
      <c r="D123" s="218"/>
      <c r="E123" s="22"/>
      <c r="F123" s="22"/>
      <c r="G123" s="22"/>
      <c r="H123" s="22"/>
      <c r="I123" s="22"/>
      <c r="J123" s="218"/>
      <c r="K123" s="22"/>
    </row>
    <row r="124" spans="2:11" x14ac:dyDescent="0.15">
      <c r="B124" s="140"/>
      <c r="C124" s="22"/>
      <c r="D124" s="218"/>
      <c r="E124" s="22"/>
      <c r="F124" s="22"/>
      <c r="G124" s="22"/>
      <c r="H124" s="22"/>
      <c r="I124" s="22"/>
      <c r="J124" s="218"/>
      <c r="K124" s="22"/>
    </row>
    <row r="125" spans="2:11" x14ac:dyDescent="0.15">
      <c r="B125" s="140"/>
      <c r="C125" s="22"/>
      <c r="D125" s="218"/>
      <c r="E125" s="22"/>
      <c r="F125" s="22"/>
      <c r="G125" s="22"/>
      <c r="H125" s="22"/>
      <c r="I125" s="22"/>
      <c r="J125" s="218"/>
      <c r="K125" s="22"/>
    </row>
    <row r="126" spans="2:11" x14ac:dyDescent="0.15">
      <c r="B126" s="140"/>
      <c r="C126" s="22"/>
      <c r="D126" s="218"/>
      <c r="E126" s="22"/>
      <c r="F126" s="22"/>
      <c r="G126" s="22"/>
      <c r="H126" s="22"/>
      <c r="I126" s="22"/>
      <c r="J126" s="218"/>
      <c r="K126" s="22"/>
    </row>
    <row r="127" spans="2:11" x14ac:dyDescent="0.15">
      <c r="B127" s="140"/>
      <c r="C127" s="22"/>
      <c r="D127" s="218"/>
      <c r="E127" s="22"/>
      <c r="F127" s="22"/>
      <c r="G127" s="22"/>
      <c r="H127" s="22"/>
      <c r="I127" s="22"/>
      <c r="J127" s="218"/>
      <c r="K127" s="22"/>
    </row>
    <row r="128" spans="2:11" x14ac:dyDescent="0.15">
      <c r="B128" s="140"/>
      <c r="C128" s="22"/>
      <c r="D128" s="218"/>
      <c r="E128" s="22"/>
      <c r="F128" s="22"/>
      <c r="G128" s="22"/>
      <c r="H128" s="22"/>
      <c r="I128" s="22"/>
      <c r="J128" s="218"/>
      <c r="K128" s="22"/>
    </row>
    <row r="129" spans="2:11" x14ac:dyDescent="0.15">
      <c r="B129" s="140"/>
      <c r="C129" s="22"/>
      <c r="D129" s="218"/>
      <c r="E129" s="22"/>
      <c r="F129" s="22"/>
      <c r="G129" s="22"/>
      <c r="H129" s="22"/>
      <c r="I129" s="22"/>
      <c r="J129" s="218"/>
      <c r="K129" s="22"/>
    </row>
    <row r="130" spans="2:11" x14ac:dyDescent="0.15">
      <c r="B130" s="140"/>
      <c r="C130" s="22"/>
      <c r="D130" s="218"/>
      <c r="E130" s="22"/>
      <c r="F130" s="22"/>
      <c r="G130" s="22"/>
      <c r="H130" s="22"/>
      <c r="I130" s="22"/>
      <c r="J130" s="218"/>
      <c r="K130" s="22"/>
    </row>
    <row r="131" spans="2:11" x14ac:dyDescent="0.15">
      <c r="B131" s="140"/>
      <c r="C131" s="22"/>
      <c r="D131" s="218"/>
      <c r="E131" s="22"/>
      <c r="F131" s="22"/>
      <c r="G131" s="22"/>
      <c r="H131" s="22"/>
      <c r="I131" s="22"/>
      <c r="J131" s="218"/>
      <c r="K131" s="22"/>
    </row>
    <row r="132" spans="2:11" x14ac:dyDescent="0.15">
      <c r="B132" s="140"/>
      <c r="C132" s="22"/>
      <c r="D132" s="218"/>
      <c r="E132" s="22"/>
      <c r="F132" s="22"/>
      <c r="G132" s="22"/>
      <c r="H132" s="22"/>
      <c r="I132" s="22"/>
      <c r="J132" s="218"/>
      <c r="K132" s="22"/>
    </row>
    <row r="133" spans="2:11" x14ac:dyDescent="0.15">
      <c r="B133" s="140"/>
      <c r="C133" s="22"/>
      <c r="D133" s="218"/>
      <c r="E133" s="22"/>
      <c r="F133" s="22"/>
      <c r="G133" s="22"/>
      <c r="H133" s="22"/>
      <c r="I133" s="22"/>
      <c r="J133" s="218"/>
      <c r="K133" s="22"/>
    </row>
    <row r="134" spans="2:11" x14ac:dyDescent="0.15">
      <c r="B134" s="140"/>
      <c r="C134" s="22"/>
      <c r="D134" s="218"/>
      <c r="E134" s="22"/>
      <c r="F134" s="22"/>
      <c r="G134" s="22"/>
      <c r="H134" s="22"/>
      <c r="I134" s="22"/>
      <c r="J134" s="218"/>
      <c r="K134" s="22"/>
    </row>
    <row r="135" spans="2:11" x14ac:dyDescent="0.15">
      <c r="B135" s="140"/>
      <c r="C135" s="22"/>
      <c r="D135" s="218"/>
      <c r="E135" s="22"/>
      <c r="F135" s="22"/>
      <c r="G135" s="22"/>
      <c r="H135" s="22"/>
      <c r="I135" s="22"/>
      <c r="J135" s="218"/>
      <c r="K135" s="22"/>
    </row>
    <row r="136" spans="2:11" x14ac:dyDescent="0.15">
      <c r="B136" s="140"/>
      <c r="C136" s="22"/>
      <c r="D136" s="218"/>
      <c r="E136" s="22"/>
      <c r="F136" s="22"/>
      <c r="G136" s="22"/>
      <c r="H136" s="22"/>
      <c r="I136" s="22"/>
      <c r="J136" s="218"/>
      <c r="K136" s="22"/>
    </row>
    <row r="137" spans="2:11" x14ac:dyDescent="0.15">
      <c r="B137" s="140"/>
      <c r="C137" s="22"/>
      <c r="D137" s="218"/>
      <c r="E137" s="22"/>
      <c r="F137" s="22"/>
      <c r="G137" s="22"/>
      <c r="H137" s="22"/>
      <c r="I137" s="22"/>
      <c r="J137" s="218"/>
      <c r="K137" s="22"/>
    </row>
    <row r="138" spans="2:11" x14ac:dyDescent="0.15">
      <c r="B138" s="140"/>
      <c r="C138" s="22"/>
      <c r="D138" s="218"/>
      <c r="E138" s="22"/>
      <c r="F138" s="22"/>
      <c r="G138" s="22"/>
      <c r="H138" s="22"/>
      <c r="I138" s="22"/>
      <c r="J138" s="218"/>
      <c r="K138" s="22"/>
    </row>
    <row r="139" spans="2:11" x14ac:dyDescent="0.15">
      <c r="B139" s="140"/>
      <c r="C139" s="22"/>
      <c r="D139" s="218"/>
      <c r="E139" s="22"/>
      <c r="F139" s="22"/>
      <c r="G139" s="22"/>
      <c r="H139" s="22"/>
      <c r="I139" s="22"/>
      <c r="J139" s="218"/>
      <c r="K139" s="22"/>
    </row>
    <row r="140" spans="2:11" x14ac:dyDescent="0.15">
      <c r="B140" s="140"/>
      <c r="C140" s="22"/>
      <c r="D140" s="218"/>
      <c r="E140" s="22"/>
      <c r="F140" s="22"/>
      <c r="G140" s="22"/>
      <c r="H140" s="22"/>
      <c r="I140" s="22"/>
      <c r="J140" s="218"/>
      <c r="K140" s="22"/>
    </row>
    <row r="141" spans="2:11" x14ac:dyDescent="0.15">
      <c r="B141" s="140"/>
      <c r="C141" s="22"/>
      <c r="D141" s="218"/>
      <c r="E141" s="22"/>
      <c r="F141" s="22"/>
      <c r="G141" s="22"/>
      <c r="H141" s="22"/>
      <c r="I141" s="22"/>
      <c r="J141" s="218"/>
      <c r="K141" s="22"/>
    </row>
    <row r="142" spans="2:11" x14ac:dyDescent="0.15">
      <c r="B142" s="140"/>
      <c r="C142" s="22"/>
      <c r="D142" s="218"/>
      <c r="E142" s="22"/>
      <c r="F142" s="22"/>
      <c r="G142" s="22"/>
      <c r="H142" s="22"/>
      <c r="I142" s="22"/>
      <c r="J142" s="218"/>
      <c r="K142" s="22"/>
    </row>
    <row r="143" spans="2:11" x14ac:dyDescent="0.15">
      <c r="B143" s="140"/>
      <c r="C143" s="22"/>
      <c r="D143" s="218"/>
      <c r="E143" s="22"/>
      <c r="F143" s="22"/>
      <c r="G143" s="22"/>
      <c r="H143" s="22"/>
      <c r="I143" s="22"/>
      <c r="J143" s="218"/>
      <c r="K143" s="22"/>
    </row>
    <row r="144" spans="2:11" x14ac:dyDescent="0.15">
      <c r="B144" s="140"/>
      <c r="C144" s="22"/>
      <c r="D144" s="218"/>
      <c r="E144" s="22"/>
      <c r="F144" s="22"/>
      <c r="G144" s="22"/>
      <c r="H144" s="22"/>
      <c r="I144" s="22"/>
      <c r="J144" s="218"/>
      <c r="K144" s="22"/>
    </row>
    <row r="145" spans="2:11" x14ac:dyDescent="0.15">
      <c r="B145" s="140"/>
      <c r="C145" s="22"/>
      <c r="D145" s="218"/>
      <c r="E145" s="22"/>
      <c r="F145" s="22"/>
      <c r="G145" s="22"/>
      <c r="H145" s="22"/>
      <c r="I145" s="22"/>
      <c r="J145" s="218"/>
      <c r="K145" s="22"/>
    </row>
    <row r="146" spans="2:11" x14ac:dyDescent="0.15">
      <c r="B146" s="140"/>
      <c r="C146" s="22"/>
      <c r="D146" s="218"/>
      <c r="E146" s="22"/>
      <c r="F146" s="22"/>
      <c r="G146" s="22"/>
      <c r="H146" s="22"/>
      <c r="I146" s="22"/>
      <c r="J146" s="218"/>
      <c r="K146" s="22"/>
    </row>
    <row r="147" spans="2:11" x14ac:dyDescent="0.15">
      <c r="B147" s="140"/>
      <c r="C147" s="22"/>
      <c r="D147" s="218"/>
      <c r="E147" s="22"/>
      <c r="F147" s="22"/>
      <c r="G147" s="22"/>
      <c r="H147" s="22"/>
      <c r="I147" s="22"/>
      <c r="J147" s="218"/>
      <c r="K147" s="22"/>
    </row>
    <row r="148" spans="2:11" x14ac:dyDescent="0.15">
      <c r="B148" s="140"/>
      <c r="C148" s="22"/>
      <c r="D148" s="218"/>
      <c r="E148" s="22"/>
      <c r="F148" s="22"/>
      <c r="G148" s="22"/>
      <c r="H148" s="22"/>
      <c r="I148" s="22"/>
      <c r="J148" s="218"/>
      <c r="K148" s="22"/>
    </row>
    <row r="149" spans="2:11" x14ac:dyDescent="0.15">
      <c r="B149" s="140"/>
      <c r="C149" s="22"/>
      <c r="D149" s="218"/>
      <c r="E149" s="22"/>
      <c r="F149" s="22"/>
      <c r="G149" s="22"/>
      <c r="H149" s="22"/>
      <c r="I149" s="22"/>
      <c r="J149" s="218"/>
      <c r="K149" s="22"/>
    </row>
    <row r="150" spans="2:11" x14ac:dyDescent="0.15">
      <c r="B150" s="140"/>
      <c r="C150" s="22"/>
      <c r="D150" s="218"/>
      <c r="E150" s="22"/>
      <c r="F150" s="22"/>
      <c r="G150" s="22"/>
      <c r="H150" s="22"/>
      <c r="I150" s="22"/>
      <c r="J150" s="218"/>
      <c r="K150" s="22"/>
    </row>
    <row r="151" spans="2:11" x14ac:dyDescent="0.15">
      <c r="B151" s="140"/>
      <c r="C151" s="22"/>
      <c r="D151" s="218"/>
      <c r="E151" s="22"/>
      <c r="F151" s="22"/>
      <c r="G151" s="22"/>
      <c r="H151" s="22"/>
      <c r="I151" s="22"/>
      <c r="J151" s="218"/>
      <c r="K151" s="22"/>
    </row>
    <row r="152" spans="2:11" x14ac:dyDescent="0.15">
      <c r="B152" s="140"/>
      <c r="C152" s="22"/>
      <c r="D152" s="218"/>
      <c r="E152" s="22"/>
      <c r="F152" s="22"/>
      <c r="G152" s="22"/>
      <c r="H152" s="22"/>
      <c r="I152" s="22"/>
      <c r="J152" s="218"/>
      <c r="K152" s="22"/>
    </row>
    <row r="153" spans="2:11" x14ac:dyDescent="0.15">
      <c r="B153" s="140"/>
      <c r="C153" s="22"/>
      <c r="D153" s="218"/>
      <c r="E153" s="22"/>
      <c r="F153" s="22"/>
      <c r="G153" s="22"/>
      <c r="H153" s="22"/>
      <c r="I153" s="22"/>
      <c r="J153" s="218"/>
      <c r="K153" s="22"/>
    </row>
    <row r="154" spans="2:11" x14ac:dyDescent="0.15">
      <c r="B154" s="140"/>
      <c r="C154" s="22"/>
      <c r="D154" s="218"/>
      <c r="E154" s="22"/>
      <c r="F154" s="22"/>
      <c r="G154" s="22"/>
      <c r="H154" s="22"/>
      <c r="I154" s="22"/>
      <c r="J154" s="218"/>
      <c r="K154" s="22"/>
    </row>
    <row r="155" spans="2:11" x14ac:dyDescent="0.15">
      <c r="B155" s="140"/>
      <c r="C155" s="22"/>
      <c r="D155" s="218"/>
      <c r="E155" s="22"/>
      <c r="F155" s="22"/>
      <c r="G155" s="22"/>
      <c r="H155" s="22"/>
      <c r="I155" s="22"/>
      <c r="J155" s="218"/>
      <c r="K155" s="22"/>
    </row>
    <row r="156" spans="2:11" x14ac:dyDescent="0.15">
      <c r="B156" s="140"/>
      <c r="C156" s="22"/>
      <c r="D156" s="218"/>
      <c r="E156" s="22"/>
      <c r="F156" s="22"/>
      <c r="G156" s="22"/>
      <c r="H156" s="22"/>
      <c r="I156" s="22"/>
      <c r="J156" s="218"/>
      <c r="K156" s="22"/>
    </row>
    <row r="157" spans="2:11" x14ac:dyDescent="0.15">
      <c r="B157" s="140"/>
      <c r="C157" s="22"/>
      <c r="D157" s="218"/>
      <c r="E157" s="22"/>
      <c r="F157" s="22"/>
      <c r="G157" s="22"/>
      <c r="H157" s="22"/>
      <c r="I157" s="22"/>
      <c r="J157" s="218"/>
      <c r="K157" s="22"/>
    </row>
    <row r="158" spans="2:11" x14ac:dyDescent="0.15">
      <c r="B158" s="140"/>
      <c r="C158" s="22"/>
      <c r="D158" s="218"/>
      <c r="E158" s="22"/>
      <c r="F158" s="22"/>
      <c r="G158" s="22"/>
      <c r="H158" s="22"/>
      <c r="I158" s="22"/>
      <c r="J158" s="218"/>
      <c r="K158" s="22"/>
    </row>
    <row r="159" spans="2:11" x14ac:dyDescent="0.15">
      <c r="B159" s="140"/>
      <c r="C159" s="22"/>
      <c r="D159" s="218"/>
      <c r="E159" s="22"/>
      <c r="F159" s="22"/>
      <c r="G159" s="22"/>
      <c r="H159" s="22"/>
      <c r="I159" s="22"/>
      <c r="J159" s="218"/>
      <c r="K159" s="22"/>
    </row>
    <row r="160" spans="2:11" x14ac:dyDescent="0.15">
      <c r="B160" s="140"/>
      <c r="C160" s="22"/>
      <c r="D160" s="218"/>
      <c r="E160" s="22"/>
      <c r="F160" s="22"/>
      <c r="G160" s="22"/>
      <c r="H160" s="22"/>
      <c r="I160" s="22"/>
      <c r="J160" s="218"/>
      <c r="K160" s="22"/>
    </row>
    <row r="161" spans="2:11" x14ac:dyDescent="0.15">
      <c r="B161" s="140"/>
      <c r="C161" s="22"/>
      <c r="D161" s="218"/>
      <c r="E161" s="22"/>
      <c r="F161" s="22"/>
      <c r="G161" s="22"/>
      <c r="H161" s="22"/>
      <c r="I161" s="22"/>
      <c r="J161" s="218"/>
      <c r="K161" s="22"/>
    </row>
    <row r="162" spans="2:11" x14ac:dyDescent="0.15">
      <c r="B162" s="140"/>
      <c r="C162" s="22"/>
      <c r="D162" s="218"/>
      <c r="E162" s="22"/>
      <c r="F162" s="22"/>
      <c r="G162" s="22"/>
      <c r="H162" s="22"/>
      <c r="I162" s="22"/>
      <c r="J162" s="218"/>
      <c r="K162" s="22"/>
    </row>
    <row r="163" spans="2:11" x14ac:dyDescent="0.15">
      <c r="B163" s="140"/>
      <c r="C163" s="22"/>
      <c r="D163" s="218"/>
      <c r="E163" s="22"/>
      <c r="F163" s="22"/>
      <c r="G163" s="22"/>
      <c r="H163" s="22"/>
      <c r="I163" s="22"/>
      <c r="J163" s="218"/>
      <c r="K163" s="22"/>
    </row>
    <row r="164" spans="2:11" x14ac:dyDescent="0.15">
      <c r="B164" s="140"/>
      <c r="C164" s="22"/>
      <c r="D164" s="218"/>
      <c r="E164" s="22"/>
      <c r="F164" s="22"/>
      <c r="G164" s="22"/>
      <c r="H164" s="22"/>
      <c r="I164" s="22"/>
      <c r="J164" s="218"/>
      <c r="K164" s="22"/>
    </row>
    <row r="165" spans="2:11" x14ac:dyDescent="0.15">
      <c r="B165" s="140"/>
      <c r="C165" s="22"/>
      <c r="D165" s="218"/>
      <c r="E165" s="22"/>
      <c r="F165" s="22"/>
      <c r="G165" s="22"/>
      <c r="H165" s="22"/>
      <c r="I165" s="22"/>
      <c r="J165" s="218"/>
      <c r="K165" s="22"/>
    </row>
    <row r="166" spans="2:11" x14ac:dyDescent="0.15">
      <c r="B166" s="140"/>
      <c r="C166" s="22"/>
      <c r="D166" s="218"/>
      <c r="E166" s="22"/>
      <c r="F166" s="22"/>
      <c r="G166" s="22"/>
      <c r="H166" s="22"/>
      <c r="I166" s="22"/>
      <c r="J166" s="218"/>
      <c r="K166" s="22"/>
    </row>
    <row r="167" spans="2:11" x14ac:dyDescent="0.15">
      <c r="B167" s="140"/>
      <c r="C167" s="22"/>
      <c r="D167" s="218"/>
      <c r="E167" s="22"/>
      <c r="F167" s="22"/>
      <c r="G167" s="22"/>
      <c r="H167" s="22"/>
      <c r="I167" s="22"/>
      <c r="J167" s="218"/>
      <c r="K167" s="22"/>
    </row>
    <row r="168" spans="2:11" x14ac:dyDescent="0.15">
      <c r="B168" s="140"/>
      <c r="C168" s="22"/>
      <c r="D168" s="218"/>
      <c r="E168" s="22"/>
      <c r="F168" s="22"/>
      <c r="G168" s="22"/>
      <c r="H168" s="22"/>
      <c r="I168" s="22"/>
      <c r="J168" s="218"/>
      <c r="K168" s="22"/>
    </row>
    <row r="169" spans="2:11" x14ac:dyDescent="0.15">
      <c r="B169" s="140"/>
      <c r="C169" s="22"/>
      <c r="D169" s="218"/>
      <c r="E169" s="22"/>
      <c r="F169" s="22"/>
      <c r="G169" s="22"/>
      <c r="H169" s="22"/>
      <c r="I169" s="22"/>
      <c r="J169" s="218"/>
      <c r="K169" s="22"/>
    </row>
    <row r="170" spans="2:11" x14ac:dyDescent="0.15">
      <c r="B170" s="140"/>
      <c r="C170" s="22"/>
      <c r="D170" s="218"/>
      <c r="E170" s="22"/>
      <c r="F170" s="22"/>
      <c r="G170" s="22"/>
      <c r="H170" s="22"/>
      <c r="I170" s="22"/>
      <c r="J170" s="218"/>
      <c r="K170" s="22"/>
    </row>
    <row r="171" spans="2:11" x14ac:dyDescent="0.15">
      <c r="B171" s="140"/>
      <c r="C171" s="22"/>
      <c r="D171" s="218"/>
      <c r="E171" s="22"/>
      <c r="F171" s="22"/>
      <c r="G171" s="22"/>
      <c r="H171" s="22"/>
      <c r="I171" s="22"/>
      <c r="J171" s="218"/>
      <c r="K171" s="22"/>
    </row>
    <row r="172" spans="2:11" x14ac:dyDescent="0.15">
      <c r="B172" s="140"/>
      <c r="C172" s="22"/>
      <c r="D172" s="218"/>
      <c r="E172" s="22"/>
      <c r="F172" s="22"/>
      <c r="G172" s="22"/>
      <c r="H172" s="22"/>
      <c r="I172" s="22"/>
      <c r="J172" s="218"/>
      <c r="K172" s="22"/>
    </row>
    <row r="173" spans="2:11" x14ac:dyDescent="0.15">
      <c r="B173" s="140"/>
      <c r="C173" s="22"/>
      <c r="D173" s="218"/>
      <c r="E173" s="22"/>
      <c r="F173" s="22"/>
      <c r="G173" s="22"/>
      <c r="H173" s="22"/>
      <c r="I173" s="22"/>
      <c r="J173" s="218"/>
      <c r="K173" s="22"/>
    </row>
    <row r="174" spans="2:11" x14ac:dyDescent="0.15">
      <c r="B174" s="140"/>
      <c r="C174" s="22"/>
      <c r="D174" s="218"/>
      <c r="E174" s="22"/>
      <c r="F174" s="22"/>
      <c r="G174" s="22"/>
      <c r="H174" s="22"/>
      <c r="I174" s="22"/>
      <c r="J174" s="218"/>
      <c r="K174" s="22"/>
    </row>
    <row r="175" spans="2:11" x14ac:dyDescent="0.15">
      <c r="B175" s="140"/>
      <c r="C175" s="22"/>
      <c r="D175" s="218"/>
      <c r="E175" s="22"/>
      <c r="F175" s="22"/>
      <c r="G175" s="22"/>
      <c r="H175" s="22"/>
      <c r="I175" s="22"/>
      <c r="J175" s="218"/>
      <c r="K175" s="22"/>
    </row>
    <row r="176" spans="2:11" x14ac:dyDescent="0.15">
      <c r="B176" s="140"/>
      <c r="C176" s="22"/>
      <c r="D176" s="218"/>
      <c r="E176" s="22"/>
      <c r="F176" s="22"/>
      <c r="G176" s="22"/>
      <c r="H176" s="22"/>
      <c r="I176" s="22"/>
      <c r="J176" s="218"/>
      <c r="K176" s="22"/>
    </row>
    <row r="177" spans="2:11" x14ac:dyDescent="0.15">
      <c r="B177" s="140"/>
      <c r="C177" s="22"/>
      <c r="D177" s="218"/>
      <c r="E177" s="22"/>
      <c r="F177" s="22"/>
      <c r="G177" s="22"/>
      <c r="H177" s="22"/>
      <c r="I177" s="22"/>
      <c r="J177" s="218"/>
      <c r="K177" s="22"/>
    </row>
    <row r="178" spans="2:11" x14ac:dyDescent="0.15">
      <c r="B178" s="140"/>
      <c r="C178" s="22"/>
      <c r="D178" s="218"/>
      <c r="E178" s="22"/>
      <c r="F178" s="22"/>
      <c r="G178" s="22"/>
      <c r="H178" s="22"/>
      <c r="I178" s="22"/>
      <c r="J178" s="218"/>
      <c r="K178" s="22"/>
    </row>
    <row r="179" spans="2:11" x14ac:dyDescent="0.15">
      <c r="B179" s="140"/>
      <c r="C179" s="22"/>
      <c r="D179" s="218"/>
      <c r="E179" s="22"/>
      <c r="F179" s="22"/>
      <c r="G179" s="22"/>
      <c r="H179" s="22"/>
      <c r="I179" s="22"/>
      <c r="J179" s="218"/>
      <c r="K179" s="22"/>
    </row>
    <row r="180" spans="2:11" x14ac:dyDescent="0.15">
      <c r="B180" s="140"/>
      <c r="C180" s="22"/>
      <c r="D180" s="218"/>
      <c r="E180" s="22"/>
      <c r="F180" s="22"/>
      <c r="G180" s="22"/>
      <c r="H180" s="22"/>
      <c r="I180" s="22"/>
      <c r="J180" s="218"/>
      <c r="K180" s="22"/>
    </row>
    <row r="181" spans="2:11" x14ac:dyDescent="0.15">
      <c r="B181" s="140"/>
      <c r="C181" s="22"/>
      <c r="D181" s="218"/>
      <c r="E181" s="22"/>
      <c r="F181" s="22"/>
      <c r="G181" s="22"/>
      <c r="H181" s="22"/>
      <c r="I181" s="22"/>
      <c r="J181" s="218"/>
      <c r="K181" s="22"/>
    </row>
    <row r="182" spans="2:11" x14ac:dyDescent="0.15">
      <c r="B182" s="140"/>
      <c r="C182" s="22"/>
      <c r="D182" s="218"/>
      <c r="E182" s="22"/>
      <c r="F182" s="22"/>
      <c r="G182" s="22"/>
      <c r="H182" s="22"/>
      <c r="I182" s="22"/>
      <c r="J182" s="218"/>
      <c r="K182" s="22"/>
    </row>
    <row r="183" spans="2:11" x14ac:dyDescent="0.15">
      <c r="B183" s="140"/>
      <c r="C183" s="22"/>
      <c r="D183" s="218"/>
      <c r="E183" s="22"/>
      <c r="F183" s="22"/>
      <c r="G183" s="22"/>
      <c r="H183" s="22"/>
      <c r="I183" s="22"/>
      <c r="J183" s="218"/>
      <c r="K183" s="22"/>
    </row>
    <row r="184" spans="2:11" x14ac:dyDescent="0.15">
      <c r="B184" s="140"/>
      <c r="C184" s="22"/>
      <c r="D184" s="218"/>
      <c r="E184" s="22"/>
      <c r="F184" s="22"/>
      <c r="G184" s="22"/>
      <c r="H184" s="22"/>
      <c r="I184" s="22"/>
      <c r="J184" s="218"/>
      <c r="K184" s="22"/>
    </row>
    <row r="185" spans="2:11" x14ac:dyDescent="0.15">
      <c r="B185" s="140"/>
      <c r="C185" s="22"/>
      <c r="D185" s="218"/>
      <c r="E185" s="22"/>
      <c r="F185" s="22"/>
      <c r="G185" s="22"/>
      <c r="H185" s="22"/>
      <c r="I185" s="22"/>
      <c r="J185" s="218"/>
      <c r="K185" s="22"/>
    </row>
    <row r="186" spans="2:11" x14ac:dyDescent="0.15">
      <c r="B186" s="140"/>
      <c r="C186" s="22"/>
      <c r="D186" s="218"/>
      <c r="E186" s="22"/>
      <c r="F186" s="22"/>
      <c r="G186" s="22"/>
      <c r="H186" s="22"/>
      <c r="I186" s="22"/>
      <c r="J186" s="218"/>
      <c r="K186" s="22"/>
    </row>
    <row r="187" spans="2:11" x14ac:dyDescent="0.15">
      <c r="B187" s="140"/>
      <c r="C187" s="22"/>
      <c r="D187" s="218"/>
      <c r="E187" s="22"/>
      <c r="F187" s="22"/>
      <c r="G187" s="22"/>
      <c r="H187" s="22"/>
      <c r="I187" s="22"/>
      <c r="J187" s="218"/>
      <c r="K187" s="22"/>
    </row>
    <row r="188" spans="2:11" x14ac:dyDescent="0.15">
      <c r="B188" s="140"/>
      <c r="C188" s="22"/>
      <c r="D188" s="218"/>
      <c r="E188" s="22"/>
      <c r="F188" s="22"/>
      <c r="G188" s="22"/>
      <c r="H188" s="22"/>
      <c r="I188" s="22"/>
      <c r="J188" s="218"/>
      <c r="K188" s="22"/>
    </row>
    <row r="189" spans="2:11" x14ac:dyDescent="0.15">
      <c r="B189" s="140"/>
      <c r="C189" s="22"/>
      <c r="D189" s="218"/>
      <c r="E189" s="22"/>
      <c r="F189" s="22"/>
      <c r="G189" s="22"/>
      <c r="H189" s="22"/>
      <c r="I189" s="22"/>
      <c r="J189" s="218"/>
      <c r="K189" s="22"/>
    </row>
    <row r="190" spans="2:11" x14ac:dyDescent="0.15">
      <c r="B190" s="140"/>
      <c r="C190" s="22"/>
      <c r="D190" s="218"/>
      <c r="E190" s="22"/>
      <c r="F190" s="22"/>
      <c r="G190" s="22"/>
      <c r="H190" s="22"/>
      <c r="I190" s="22"/>
      <c r="J190" s="218"/>
      <c r="K190" s="22"/>
    </row>
    <row r="191" spans="2:11" x14ac:dyDescent="0.15">
      <c r="B191" s="140"/>
      <c r="C191" s="22"/>
      <c r="D191" s="218"/>
      <c r="E191" s="22"/>
      <c r="F191" s="22"/>
      <c r="G191" s="22"/>
      <c r="H191" s="22"/>
      <c r="I191" s="22"/>
      <c r="J191" s="218"/>
      <c r="K191" s="22"/>
    </row>
    <row r="192" spans="2:11" x14ac:dyDescent="0.15">
      <c r="B192" s="140"/>
      <c r="C192" s="22"/>
      <c r="D192" s="218"/>
      <c r="E192" s="22"/>
      <c r="F192" s="22"/>
      <c r="G192" s="22"/>
      <c r="H192" s="22"/>
      <c r="I192" s="22"/>
      <c r="J192" s="218"/>
      <c r="K192" s="22"/>
    </row>
    <row r="193" spans="2:11" x14ac:dyDescent="0.15">
      <c r="B193" s="140"/>
      <c r="C193" s="22"/>
      <c r="D193" s="218"/>
      <c r="E193" s="22"/>
      <c r="F193" s="22"/>
      <c r="G193" s="22"/>
      <c r="H193" s="22"/>
      <c r="I193" s="22"/>
      <c r="J193" s="218"/>
      <c r="K193" s="22"/>
    </row>
    <row r="194" spans="2:11" x14ac:dyDescent="0.15">
      <c r="B194" s="140"/>
      <c r="C194" s="22"/>
      <c r="D194" s="218"/>
      <c r="E194" s="22"/>
      <c r="F194" s="22"/>
      <c r="G194" s="22"/>
      <c r="H194" s="22"/>
      <c r="I194" s="22"/>
      <c r="J194" s="218"/>
      <c r="K194" s="22"/>
    </row>
    <row r="195" spans="2:11" x14ac:dyDescent="0.15">
      <c r="B195" s="140"/>
      <c r="C195" s="22"/>
      <c r="D195" s="218"/>
      <c r="E195" s="22"/>
      <c r="F195" s="22"/>
      <c r="G195" s="22"/>
      <c r="H195" s="22"/>
      <c r="I195" s="22"/>
      <c r="J195" s="218"/>
      <c r="K195" s="22"/>
    </row>
    <row r="196" spans="2:11" x14ac:dyDescent="0.15">
      <c r="B196" s="140"/>
      <c r="C196" s="22"/>
      <c r="D196" s="218"/>
      <c r="E196" s="22"/>
      <c r="F196" s="22"/>
      <c r="G196" s="22"/>
      <c r="H196" s="22"/>
      <c r="I196" s="22"/>
      <c r="J196" s="218"/>
      <c r="K196" s="22"/>
    </row>
    <row r="197" spans="2:11" x14ac:dyDescent="0.15">
      <c r="B197" s="140"/>
      <c r="C197" s="22"/>
      <c r="D197" s="218"/>
      <c r="E197" s="22"/>
      <c r="F197" s="22"/>
      <c r="G197" s="22"/>
      <c r="H197" s="22"/>
      <c r="I197" s="22"/>
      <c r="J197" s="218"/>
      <c r="K197" s="22"/>
    </row>
    <row r="198" spans="2:11" x14ac:dyDescent="0.15">
      <c r="B198" s="140"/>
      <c r="C198" s="22"/>
      <c r="D198" s="218"/>
      <c r="E198" s="22"/>
      <c r="F198" s="22"/>
      <c r="G198" s="22"/>
      <c r="H198" s="22"/>
      <c r="I198" s="22"/>
      <c r="J198" s="218"/>
      <c r="K198" s="22"/>
    </row>
    <row r="199" spans="2:11" x14ac:dyDescent="0.15">
      <c r="B199" s="140"/>
      <c r="C199" s="22"/>
      <c r="D199" s="218"/>
      <c r="E199" s="22"/>
      <c r="F199" s="22"/>
      <c r="G199" s="22"/>
      <c r="H199" s="22"/>
      <c r="I199" s="22"/>
      <c r="J199" s="218"/>
      <c r="K199" s="22"/>
    </row>
    <row r="200" spans="2:11" x14ac:dyDescent="0.15">
      <c r="B200" s="140"/>
      <c r="C200" s="22"/>
      <c r="D200" s="218"/>
      <c r="E200" s="22"/>
      <c r="F200" s="22"/>
      <c r="G200" s="22"/>
      <c r="H200" s="22"/>
      <c r="I200" s="22"/>
      <c r="J200" s="218"/>
      <c r="K200" s="22"/>
    </row>
    <row r="201" spans="2:11" x14ac:dyDescent="0.15">
      <c r="B201" s="140"/>
      <c r="C201" s="22"/>
      <c r="D201" s="218"/>
      <c r="E201" s="22"/>
      <c r="F201" s="22"/>
      <c r="G201" s="22"/>
      <c r="H201" s="22"/>
      <c r="I201" s="22"/>
      <c r="J201" s="218"/>
      <c r="K201" s="22"/>
    </row>
    <row r="202" spans="2:11" x14ac:dyDescent="0.15">
      <c r="B202" s="140"/>
      <c r="C202" s="22"/>
      <c r="D202" s="218"/>
      <c r="E202" s="22"/>
      <c r="F202" s="22"/>
      <c r="G202" s="22"/>
      <c r="H202" s="22"/>
      <c r="I202" s="22"/>
      <c r="J202" s="218"/>
      <c r="K202" s="22"/>
    </row>
    <row r="203" spans="2:11" x14ac:dyDescent="0.15">
      <c r="B203" s="140"/>
      <c r="C203" s="22"/>
      <c r="D203" s="218"/>
      <c r="E203" s="22"/>
      <c r="F203" s="22"/>
      <c r="G203" s="22"/>
      <c r="H203" s="22"/>
      <c r="I203" s="22"/>
      <c r="J203" s="218"/>
      <c r="K203" s="22"/>
    </row>
    <row r="204" spans="2:11" x14ac:dyDescent="0.15">
      <c r="B204" s="140"/>
      <c r="C204" s="22"/>
      <c r="D204" s="218"/>
      <c r="E204" s="22"/>
      <c r="F204" s="22"/>
      <c r="G204" s="22"/>
      <c r="H204" s="22"/>
      <c r="I204" s="22"/>
      <c r="J204" s="218"/>
      <c r="K204" s="22"/>
    </row>
    <row r="205" spans="2:11" x14ac:dyDescent="0.15">
      <c r="B205" s="140"/>
      <c r="C205" s="22"/>
      <c r="D205" s="218"/>
      <c r="E205" s="22"/>
      <c r="F205" s="22"/>
      <c r="G205" s="22"/>
      <c r="H205" s="22"/>
      <c r="I205" s="22"/>
      <c r="J205" s="218"/>
      <c r="K205" s="22"/>
    </row>
    <row r="206" spans="2:11" x14ac:dyDescent="0.15">
      <c r="B206" s="140"/>
      <c r="C206" s="22"/>
      <c r="D206" s="218"/>
      <c r="E206" s="22"/>
      <c r="F206" s="22"/>
      <c r="G206" s="22"/>
      <c r="H206" s="22"/>
      <c r="I206" s="22"/>
      <c r="J206" s="218"/>
      <c r="K206" s="22"/>
    </row>
    <row r="207" spans="2:11" x14ac:dyDescent="0.15">
      <c r="B207" s="140"/>
      <c r="C207" s="22"/>
      <c r="D207" s="218"/>
      <c r="E207" s="22"/>
      <c r="F207" s="22"/>
      <c r="G207" s="22"/>
      <c r="H207" s="22"/>
      <c r="I207" s="22"/>
      <c r="J207" s="218"/>
      <c r="K207" s="22"/>
    </row>
    <row r="208" spans="2:11" x14ac:dyDescent="0.15">
      <c r="B208" s="140"/>
      <c r="C208" s="22"/>
      <c r="D208" s="218"/>
      <c r="E208" s="22"/>
      <c r="F208" s="22"/>
      <c r="G208" s="22"/>
      <c r="H208" s="22"/>
      <c r="I208" s="22"/>
      <c r="J208" s="218"/>
      <c r="K208" s="22"/>
    </row>
    <row r="209" spans="2:11" x14ac:dyDescent="0.15">
      <c r="B209" s="140"/>
      <c r="C209" s="22"/>
      <c r="D209" s="218"/>
      <c r="E209" s="22"/>
      <c r="F209" s="22"/>
      <c r="G209" s="22"/>
      <c r="H209" s="22"/>
      <c r="I209" s="22"/>
      <c r="J209" s="218"/>
      <c r="K209" s="22"/>
    </row>
    <row r="210" spans="2:11" x14ac:dyDescent="0.15">
      <c r="B210" s="140"/>
      <c r="C210" s="22"/>
      <c r="D210" s="218"/>
      <c r="E210" s="22"/>
      <c r="F210" s="22"/>
      <c r="G210" s="22"/>
      <c r="H210" s="22"/>
      <c r="I210" s="22"/>
      <c r="J210" s="218"/>
      <c r="K210" s="22"/>
    </row>
    <row r="211" spans="2:11" x14ac:dyDescent="0.15">
      <c r="B211" s="140"/>
      <c r="C211" s="22"/>
      <c r="D211" s="218"/>
      <c r="E211" s="22"/>
      <c r="F211" s="22"/>
      <c r="G211" s="22"/>
      <c r="H211" s="22"/>
      <c r="I211" s="22"/>
      <c r="J211" s="218"/>
      <c r="K211" s="22"/>
    </row>
    <row r="212" spans="2:11" x14ac:dyDescent="0.15">
      <c r="B212" s="140"/>
      <c r="C212" s="22"/>
      <c r="D212" s="218"/>
      <c r="E212" s="22"/>
      <c r="F212" s="22"/>
      <c r="G212" s="22"/>
      <c r="H212" s="22"/>
      <c r="I212" s="22"/>
      <c r="J212" s="218"/>
      <c r="K212" s="22"/>
    </row>
    <row r="213" spans="2:11" x14ac:dyDescent="0.15">
      <c r="B213" s="140"/>
      <c r="C213" s="22"/>
      <c r="D213" s="218"/>
      <c r="E213" s="22"/>
      <c r="F213" s="22"/>
      <c r="G213" s="22"/>
      <c r="H213" s="22"/>
      <c r="I213" s="22"/>
      <c r="J213" s="218"/>
      <c r="K213" s="22"/>
    </row>
    <row r="214" spans="2:11" x14ac:dyDescent="0.15">
      <c r="B214" s="140"/>
      <c r="C214" s="22"/>
      <c r="D214" s="218"/>
      <c r="E214" s="22"/>
      <c r="F214" s="22"/>
      <c r="G214" s="22"/>
      <c r="H214" s="22"/>
      <c r="I214" s="22"/>
      <c r="J214" s="218"/>
      <c r="K214" s="22"/>
    </row>
    <row r="215" spans="2:11" x14ac:dyDescent="0.15">
      <c r="B215" s="140"/>
      <c r="C215" s="22"/>
      <c r="D215" s="218"/>
      <c r="E215" s="22"/>
      <c r="F215" s="22"/>
      <c r="G215" s="22"/>
      <c r="H215" s="22"/>
      <c r="I215" s="22"/>
      <c r="J215" s="218"/>
      <c r="K215" s="22"/>
    </row>
    <row r="216" spans="2:11" x14ac:dyDescent="0.15">
      <c r="B216" s="140"/>
      <c r="C216" s="22"/>
      <c r="D216" s="218"/>
      <c r="E216" s="22"/>
      <c r="F216" s="22"/>
      <c r="G216" s="22"/>
      <c r="H216" s="22"/>
      <c r="I216" s="22"/>
      <c r="J216" s="218"/>
      <c r="K216" s="22"/>
    </row>
    <row r="217" spans="2:11" x14ac:dyDescent="0.15">
      <c r="B217" s="140"/>
      <c r="C217" s="22"/>
      <c r="D217" s="218"/>
      <c r="E217" s="22"/>
      <c r="F217" s="22"/>
      <c r="G217" s="22"/>
      <c r="H217" s="22"/>
      <c r="I217" s="22"/>
      <c r="J217" s="218"/>
      <c r="K217" s="22"/>
    </row>
    <row r="218" spans="2:11" x14ac:dyDescent="0.15">
      <c r="B218" s="140"/>
      <c r="C218" s="22"/>
      <c r="D218" s="218"/>
      <c r="E218" s="22"/>
      <c r="F218" s="22"/>
      <c r="G218" s="22"/>
      <c r="H218" s="22"/>
      <c r="I218" s="22"/>
      <c r="J218" s="218"/>
      <c r="K218" s="22"/>
    </row>
  </sheetData>
  <mergeCells count="1">
    <mergeCell ref="B1:K1"/>
  </mergeCells>
  <phoneticPr fontId="2" type="noConversion"/>
  <pageMargins left="0.7" right="0.7" top="0.75" bottom="0.75" header="0.3" footer="0.3"/>
  <pageSetup paperSize="9" orientation="portrait" verticalDpi="203" r:id="rId1"/>
  <drawing r:id="rId2"/>
  <legacyDrawing r:id="rId3"/>
  <controls>
    <mc:AlternateContent xmlns:mc="http://schemas.openxmlformats.org/markup-compatibility/2006">
      <mc:Choice Requires="x14">
        <control shapeId="20494" r:id="rId4" name="cmd_SetFilter">
          <controlPr print="0" autoLine="0" autoPict="0" r:id="rId5">
            <anchor moveWithCells="1">
              <from>
                <xdr:col>11</xdr:col>
                <xdr:colOff>238125</xdr:colOff>
                <xdr:row>0</xdr:row>
                <xdr:rowOff>0</xdr:rowOff>
              </from>
              <to>
                <xdr:col>12</xdr:col>
                <xdr:colOff>161925</xdr:colOff>
                <xdr:row>0</xdr:row>
                <xdr:rowOff>228600</xdr:rowOff>
              </to>
            </anchor>
          </controlPr>
        </control>
      </mc:Choice>
      <mc:Fallback>
        <control shapeId="20494" r:id="rId4" name="cmd_SetFilter"/>
      </mc:Fallback>
    </mc:AlternateContent>
    <mc:AlternateContent xmlns:mc="http://schemas.openxmlformats.org/markup-compatibility/2006">
      <mc:Choice Requires="x14">
        <control shapeId="20495" r:id="rId6" name="cmd_Back">
          <controlPr print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20495" r:id="rId6" name="cmd_Back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3:J5"/>
  <sheetViews>
    <sheetView workbookViewId="0">
      <selection activeCell="G14" sqref="G14"/>
    </sheetView>
  </sheetViews>
  <sheetFormatPr defaultRowHeight="13.5" x14ac:dyDescent="0.15"/>
  <cols>
    <col min="2" max="3" width="2.875" customWidth="1"/>
    <col min="4" max="4" width="10" customWidth="1"/>
    <col min="7" max="7" width="4.625" customWidth="1"/>
  </cols>
  <sheetData>
    <row r="3" spans="1:10" ht="27.95" customHeight="1" x14ac:dyDescent="0.15">
      <c r="A3" s="108" t="s">
        <v>740</v>
      </c>
      <c r="B3" s="301" t="s">
        <v>748</v>
      </c>
      <c r="C3" s="302"/>
      <c r="D3" s="108" t="s">
        <v>741</v>
      </c>
      <c r="E3" s="108" t="s">
        <v>742</v>
      </c>
      <c r="F3" s="108" t="s">
        <v>743</v>
      </c>
      <c r="G3" s="108" t="s">
        <v>744</v>
      </c>
      <c r="H3" s="108" t="s">
        <v>745</v>
      </c>
      <c r="I3" s="108" t="s">
        <v>746</v>
      </c>
      <c r="J3" s="108" t="s">
        <v>747</v>
      </c>
    </row>
    <row r="5" spans="1:10" x14ac:dyDescent="0.15">
      <c r="F5">
        <v>1001</v>
      </c>
    </row>
  </sheetData>
  <mergeCells count="1">
    <mergeCell ref="B3:C3"/>
  </mergeCells>
  <phoneticPr fontId="4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4513" r:id="rId3" name="cmd_Query">
          <controlPr autoLine="0" r:id="rId4">
            <anchor moveWithCells="1">
              <from>
                <xdr:col>10</xdr:col>
                <xdr:colOff>352425</xdr:colOff>
                <xdr:row>0</xdr:row>
                <xdr:rowOff>0</xdr:rowOff>
              </from>
              <to>
                <xdr:col>11</xdr:col>
                <xdr:colOff>581025</xdr:colOff>
                <xdr:row>1</xdr:row>
                <xdr:rowOff>133350</xdr:rowOff>
              </to>
            </anchor>
          </controlPr>
        </control>
      </mc:Choice>
      <mc:Fallback>
        <control shapeId="64513" r:id="rId3" name="cmd_Query"/>
      </mc:Fallback>
    </mc:AlternateContent>
    <mc:AlternateContent xmlns:mc="http://schemas.openxmlformats.org/markup-compatibility/2006">
      <mc:Choice Requires="x14">
        <control shapeId="64514" r:id="rId5" name="CommandButton1">
          <controlPr autoLine="0" r:id="rId6">
            <anchor moveWithCells="1">
              <from>
                <xdr:col>12</xdr:col>
                <xdr:colOff>266700</xdr:colOff>
                <xdr:row>0</xdr:row>
                <xdr:rowOff>152400</xdr:rowOff>
              </from>
              <to>
                <xdr:col>13</xdr:col>
                <xdr:colOff>495300</xdr:colOff>
                <xdr:row>2</xdr:row>
                <xdr:rowOff>114300</xdr:rowOff>
              </to>
            </anchor>
          </controlPr>
        </control>
      </mc:Choice>
      <mc:Fallback>
        <control shapeId="64514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36"/>
  <sheetViews>
    <sheetView showGridLines="0" showZeros="0" workbookViewId="0">
      <pane xSplit="1" ySplit="4" topLeftCell="B11" activePane="bottomRight" state="frozen"/>
      <selection pane="topRight" activeCell="B1" sqref="B1"/>
      <selection pane="bottomLeft" activeCell="A5" sqref="A5"/>
      <selection pane="bottomRight" activeCell="A4" sqref="A4"/>
    </sheetView>
  </sheetViews>
  <sheetFormatPr defaultRowHeight="13.5" x14ac:dyDescent="0.15"/>
  <cols>
    <col min="1" max="1" width="21.625" customWidth="1"/>
    <col min="2" max="2" width="4.125" customWidth="1"/>
    <col min="3" max="4" width="11.625" customWidth="1"/>
    <col min="5" max="5" width="21.625" customWidth="1"/>
    <col min="6" max="6" width="4.125" customWidth="1"/>
    <col min="7" max="8" width="11.625" customWidth="1"/>
  </cols>
  <sheetData>
    <row r="1" spans="1:10" ht="24" customHeight="1" x14ac:dyDescent="0.15">
      <c r="A1" s="303" t="s">
        <v>175</v>
      </c>
      <c r="B1" s="303"/>
      <c r="C1" s="303"/>
      <c r="D1" s="303"/>
      <c r="E1" s="303"/>
      <c r="F1" s="303"/>
      <c r="G1" s="303"/>
      <c r="H1" s="303"/>
      <c r="J1" s="54"/>
    </row>
    <row r="2" spans="1:10" ht="14.25" x14ac:dyDescent="0.15">
      <c r="A2" s="55"/>
      <c r="B2" s="55"/>
      <c r="C2" s="55"/>
      <c r="D2" s="85"/>
      <c r="E2" s="55"/>
      <c r="F2" s="55"/>
      <c r="G2" s="55"/>
      <c r="H2" s="229" t="s">
        <v>176</v>
      </c>
    </row>
    <row r="3" spans="1:10" ht="14.25" x14ac:dyDescent="0.15">
      <c r="A3" s="304" t="str">
        <f>"编制单位：" &amp;单位名称</f>
        <v>编制单位：浙江晴天服饰有限公司</v>
      </c>
      <c r="B3" s="304"/>
      <c r="C3" s="304"/>
      <c r="D3" s="305">
        <v>43496</v>
      </c>
      <c r="E3" s="305"/>
      <c r="F3" s="55"/>
      <c r="G3" s="55"/>
      <c r="H3" s="229" t="s">
        <v>177</v>
      </c>
    </row>
    <row r="4" spans="1:10" ht="20.100000000000001" customHeight="1" x14ac:dyDescent="0.15">
      <c r="A4" s="78" t="s">
        <v>205</v>
      </c>
      <c r="B4" s="78" t="s">
        <v>178</v>
      </c>
      <c r="C4" s="78" t="s">
        <v>206</v>
      </c>
      <c r="D4" s="78" t="s">
        <v>207</v>
      </c>
      <c r="E4" s="78" t="s">
        <v>250</v>
      </c>
      <c r="F4" s="78" t="s">
        <v>178</v>
      </c>
      <c r="G4" s="80" t="s">
        <v>206</v>
      </c>
      <c r="H4" s="78" t="s">
        <v>207</v>
      </c>
    </row>
    <row r="5" spans="1:10" ht="18" customHeight="1" x14ac:dyDescent="0.15">
      <c r="A5" s="74" t="s">
        <v>179</v>
      </c>
      <c r="B5" s="56"/>
      <c r="C5" s="56"/>
      <c r="D5" s="56"/>
      <c r="E5" s="74" t="s">
        <v>208</v>
      </c>
      <c r="F5" s="56"/>
      <c r="G5" s="56"/>
      <c r="H5" s="56"/>
    </row>
    <row r="6" spans="1:10" ht="18" customHeight="1" x14ac:dyDescent="0.15">
      <c r="A6" s="74" t="s">
        <v>209</v>
      </c>
      <c r="B6" s="58">
        <v>1</v>
      </c>
      <c r="C6" s="57">
        <f ca="1">qm("1001",0,0)+qm("1002",0,0)+qm("1012",0,0)</f>
        <v>7000</v>
      </c>
      <c r="D6" s="57">
        <f ca="1">qc("1001",0,1)+qc("1002",0,1)+qc("1012",0,1)</f>
        <v>7000</v>
      </c>
      <c r="E6" s="74" t="s">
        <v>210</v>
      </c>
      <c r="F6" s="58">
        <v>31</v>
      </c>
      <c r="G6" s="57">
        <f ca="1">qm("2001",0,0)</f>
        <v>0</v>
      </c>
      <c r="H6" s="57">
        <f ca="1">qc("2001",0,1)</f>
        <v>0</v>
      </c>
    </row>
    <row r="7" spans="1:10" ht="18" customHeight="1" x14ac:dyDescent="0.15">
      <c r="A7" s="74" t="s">
        <v>211</v>
      </c>
      <c r="B7" s="58">
        <v>2</v>
      </c>
      <c r="C7" s="57">
        <f ca="1">qm("1101",0,0)</f>
        <v>0</v>
      </c>
      <c r="D7" s="57">
        <f ca="1">qc("1101",0,1)</f>
        <v>0</v>
      </c>
      <c r="E7" s="74" t="s">
        <v>212</v>
      </c>
      <c r="F7" s="58">
        <v>32</v>
      </c>
      <c r="G7" s="57">
        <f ca="1">qm("2201",0,0)</f>
        <v>0</v>
      </c>
      <c r="H7" s="57">
        <f ca="1">qc("2201",0,1)</f>
        <v>0</v>
      </c>
    </row>
    <row r="8" spans="1:10" ht="18" customHeight="1" x14ac:dyDescent="0.15">
      <c r="A8" s="74" t="s">
        <v>213</v>
      </c>
      <c r="B8" s="58">
        <v>3</v>
      </c>
      <c r="C8" s="57">
        <f ca="1">qm("1121",0,0)</f>
        <v>0</v>
      </c>
      <c r="D8" s="57">
        <f ca="1">qc("1121",0,1)</f>
        <v>0</v>
      </c>
      <c r="E8" s="74" t="s">
        <v>214</v>
      </c>
      <c r="F8" s="58">
        <v>33</v>
      </c>
      <c r="G8" s="57">
        <f ca="1">qm("2202",0,0)</f>
        <v>0</v>
      </c>
      <c r="H8" s="57">
        <f ca="1">qc("2202",0,1)</f>
        <v>0</v>
      </c>
    </row>
    <row r="9" spans="1:10" ht="18" customHeight="1" x14ac:dyDescent="0.15">
      <c r="A9" s="74" t="s">
        <v>215</v>
      </c>
      <c r="B9" s="58">
        <v>4</v>
      </c>
      <c r="C9" s="57">
        <f ca="1">qm("1122",0,0)</f>
        <v>0</v>
      </c>
      <c r="D9" s="57">
        <f ca="1">qc("1122",0,1)</f>
        <v>0</v>
      </c>
      <c r="E9" s="74" t="s">
        <v>216</v>
      </c>
      <c r="F9" s="58">
        <v>34</v>
      </c>
      <c r="G9" s="57">
        <f ca="1">qm("2203",0,0)</f>
        <v>0</v>
      </c>
      <c r="H9" s="57">
        <f ca="1">qc("2203",0,1)</f>
        <v>0</v>
      </c>
    </row>
    <row r="10" spans="1:10" ht="18" customHeight="1" x14ac:dyDescent="0.15">
      <c r="A10" s="74" t="s">
        <v>217</v>
      </c>
      <c r="B10" s="58">
        <v>5</v>
      </c>
      <c r="C10" s="57">
        <f ca="1">qm("1123",0,0)</f>
        <v>0</v>
      </c>
      <c r="D10" s="57">
        <f ca="1">qc("1123",0,1)</f>
        <v>0</v>
      </c>
      <c r="E10" s="74" t="s">
        <v>218</v>
      </c>
      <c r="F10" s="58">
        <v>35</v>
      </c>
      <c r="G10" s="57">
        <f ca="1">qm("2211",0,0)</f>
        <v>0</v>
      </c>
      <c r="H10" s="57">
        <f ca="1">qc("2211",0,1)</f>
        <v>0</v>
      </c>
    </row>
    <row r="11" spans="1:10" ht="18" customHeight="1" x14ac:dyDescent="0.15">
      <c r="A11" s="74" t="s">
        <v>219</v>
      </c>
      <c r="B11" s="58">
        <v>6</v>
      </c>
      <c r="C11" s="57">
        <f ca="1">qm("1131",0,0)</f>
        <v>0</v>
      </c>
      <c r="D11" s="57">
        <f ca="1">qc("1131",0,1)</f>
        <v>0</v>
      </c>
      <c r="E11" s="74" t="s">
        <v>220</v>
      </c>
      <c r="F11" s="58">
        <v>36</v>
      </c>
      <c r="G11" s="57">
        <f ca="1">qm("2221",0,0)</f>
        <v>0</v>
      </c>
      <c r="H11" s="57">
        <f ca="1">qc("2221",0,1)</f>
        <v>0</v>
      </c>
    </row>
    <row r="12" spans="1:10" ht="18" customHeight="1" x14ac:dyDescent="0.15">
      <c r="A12" s="74" t="s">
        <v>221</v>
      </c>
      <c r="B12" s="58">
        <v>7</v>
      </c>
      <c r="C12" s="57">
        <f ca="1">qm("1132",0,0)</f>
        <v>0</v>
      </c>
      <c r="D12" s="57">
        <f ca="1">qc("1132",0,1)</f>
        <v>0</v>
      </c>
      <c r="E12" s="74" t="s">
        <v>222</v>
      </c>
      <c r="F12" s="58">
        <v>37</v>
      </c>
      <c r="G12" s="57">
        <f ca="1">qm("2231",0,0)</f>
        <v>0</v>
      </c>
      <c r="H12" s="57">
        <f ca="1">qc("2231",0,1)</f>
        <v>0</v>
      </c>
    </row>
    <row r="13" spans="1:10" ht="18" customHeight="1" x14ac:dyDescent="0.15">
      <c r="A13" s="74" t="s">
        <v>223</v>
      </c>
      <c r="B13" s="58">
        <v>8</v>
      </c>
      <c r="C13" s="57">
        <f ca="1">qm("1221",0,0)</f>
        <v>0</v>
      </c>
      <c r="D13" s="57">
        <f ca="1">qc("1221",0,1)</f>
        <v>0</v>
      </c>
      <c r="E13" s="74" t="s">
        <v>224</v>
      </c>
      <c r="F13" s="58">
        <v>38</v>
      </c>
      <c r="G13" s="57">
        <f ca="1">qm("2232",0,0)</f>
        <v>0</v>
      </c>
      <c r="H13" s="57">
        <f ca="1">qc("2232",0,1)</f>
        <v>0</v>
      </c>
    </row>
    <row r="14" spans="1:10" ht="18" customHeight="1" x14ac:dyDescent="0.15">
      <c r="A14" s="74" t="s">
        <v>225</v>
      </c>
      <c r="B14" s="58">
        <v>9</v>
      </c>
      <c r="C14" s="57">
        <f ca="1">qm("1401",0,0)+qm("1402",0,0)+qm("1403",0,0)+qm("1404",0,0)+qm("1405",0,0)-qm("1407",0,0)+qm("1408",0,0)+qm("1411",0,0)+qm("1412",0,0)+qm("1413",0,0)+qm("1421",0,0)+qm("4001",0,0)+qm("4002",0,0)+qm("4401",0,0)</f>
        <v>0</v>
      </c>
      <c r="D14" s="57">
        <f ca="1">qc("1401",0,1)+qc("1402",0,1)+qc("1403",0,1)+qc("1404",0,1)+qc("1405",0,1)-qc("1407",0,1)+qc("1408",0,1)+qc("1411",0,1)+qc("1412",0,1)+qc("1413",0,1)+qc("1421",0,1)+qc("4001",0,1)+qc("4002",0,1)+qc("4401",0,1)</f>
        <v>0</v>
      </c>
      <c r="E14" s="74" t="s">
        <v>226</v>
      </c>
      <c r="F14" s="58">
        <v>39</v>
      </c>
      <c r="G14" s="57">
        <f ca="1">qm("2241",0,0)</f>
        <v>0</v>
      </c>
      <c r="H14" s="57">
        <f ca="1">qc("2241",0,1)</f>
        <v>0</v>
      </c>
    </row>
    <row r="15" spans="1:10" ht="18" customHeight="1" x14ac:dyDescent="0.15">
      <c r="A15" s="74" t="s">
        <v>227</v>
      </c>
      <c r="B15" s="58">
        <v>10</v>
      </c>
      <c r="C15" s="57">
        <f ca="1">qm("1403",0,0)</f>
        <v>0</v>
      </c>
      <c r="D15" s="57">
        <f ca="1">qc("1403",0,1)</f>
        <v>0</v>
      </c>
      <c r="E15" s="74" t="s">
        <v>228</v>
      </c>
      <c r="F15" s="58">
        <v>40</v>
      </c>
      <c r="G15" s="57"/>
      <c r="H15" s="57"/>
    </row>
    <row r="16" spans="1:10" ht="18" customHeight="1" x14ac:dyDescent="0.15">
      <c r="A16" s="74" t="s">
        <v>260</v>
      </c>
      <c r="B16" s="58">
        <v>11</v>
      </c>
      <c r="C16" s="57">
        <f ca="1">qm("4001",0,0)</f>
        <v>0</v>
      </c>
      <c r="D16" s="57">
        <f ca="1">qc("4001",0,1)</f>
        <v>0</v>
      </c>
      <c r="E16" s="75" t="s">
        <v>252</v>
      </c>
      <c r="F16" s="72">
        <v>41</v>
      </c>
      <c r="G16" s="73">
        <f ca="1">SUM(G6:G14)</f>
        <v>0</v>
      </c>
      <c r="H16" s="73">
        <f ca="1">SUM(H6:H14)</f>
        <v>0</v>
      </c>
    </row>
    <row r="17" spans="1:8" ht="18" customHeight="1" x14ac:dyDescent="0.15">
      <c r="A17" s="74" t="s">
        <v>261</v>
      </c>
      <c r="B17" s="58">
        <v>12</v>
      </c>
      <c r="C17" s="57">
        <f ca="1">qm("1405",0,0)</f>
        <v>0</v>
      </c>
      <c r="D17" s="57">
        <f ca="1">qc("1405",0,1)</f>
        <v>0</v>
      </c>
      <c r="E17" s="74" t="s">
        <v>180</v>
      </c>
      <c r="F17" s="56"/>
      <c r="G17" s="56"/>
      <c r="H17" s="56"/>
    </row>
    <row r="18" spans="1:8" ht="18" customHeight="1" x14ac:dyDescent="0.15">
      <c r="A18" s="74" t="s">
        <v>262</v>
      </c>
      <c r="B18" s="58">
        <v>13</v>
      </c>
      <c r="C18" s="57">
        <f ca="1">qm("1411",0,0)+qm("1412",0,0)+qm("1413",0,0)</f>
        <v>0</v>
      </c>
      <c r="D18" s="57">
        <f ca="1">qc("1411",0,1)+qc("1412",0,1)+qc("1413",0,1)</f>
        <v>0</v>
      </c>
      <c r="E18" s="74" t="s">
        <v>229</v>
      </c>
      <c r="F18" s="58">
        <v>42</v>
      </c>
      <c r="G18" s="57">
        <f ca="1">qm("2501",0,0)</f>
        <v>0</v>
      </c>
      <c r="H18" s="57">
        <f ca="1">qc("2501",0,1)</f>
        <v>0</v>
      </c>
    </row>
    <row r="19" spans="1:8" ht="18" customHeight="1" x14ac:dyDescent="0.15">
      <c r="A19" s="74" t="s">
        <v>230</v>
      </c>
      <c r="B19" s="58">
        <v>14</v>
      </c>
      <c r="C19" s="57">
        <f ca="1">qm("190101",0,0)</f>
        <v>0</v>
      </c>
      <c r="D19" s="57">
        <f ca="1">qc("1901.01",0,1)</f>
        <v>0</v>
      </c>
      <c r="E19" s="74" t="s">
        <v>231</v>
      </c>
      <c r="F19" s="58">
        <v>43</v>
      </c>
      <c r="G19" s="57">
        <f ca="1">qm("2701",0,0)</f>
        <v>0</v>
      </c>
      <c r="H19" s="57">
        <f ca="1">qc("2701",0,1)</f>
        <v>0</v>
      </c>
    </row>
    <row r="20" spans="1:8" ht="18" customHeight="1" x14ac:dyDescent="0.15">
      <c r="A20" s="75" t="s">
        <v>259</v>
      </c>
      <c r="B20" s="72">
        <v>15</v>
      </c>
      <c r="C20" s="73">
        <f ca="1">SUM(C6:C14)+C19</f>
        <v>7000</v>
      </c>
      <c r="D20" s="73">
        <f ca="1">SUM(D6:D14)+D19</f>
        <v>7000</v>
      </c>
      <c r="E20" s="76" t="s">
        <v>232</v>
      </c>
      <c r="F20" s="58">
        <v>44</v>
      </c>
      <c r="G20" s="57">
        <f ca="1">qm("2401",0,0)</f>
        <v>0</v>
      </c>
      <c r="H20" s="57">
        <f ca="1">qc("2401",0,1)</f>
        <v>0</v>
      </c>
    </row>
    <row r="21" spans="1:8" ht="18" customHeight="1" x14ac:dyDescent="0.15">
      <c r="A21" s="74" t="s">
        <v>181</v>
      </c>
      <c r="B21" s="56"/>
      <c r="C21" s="56"/>
      <c r="D21" s="56"/>
      <c r="E21" s="74" t="s">
        <v>233</v>
      </c>
      <c r="F21" s="58">
        <v>45</v>
      </c>
      <c r="G21" s="57"/>
      <c r="H21" s="57"/>
    </row>
    <row r="22" spans="1:8" ht="18" customHeight="1" x14ac:dyDescent="0.15">
      <c r="A22" s="74" t="s">
        <v>234</v>
      </c>
      <c r="B22" s="58">
        <v>16</v>
      </c>
      <c r="C22" s="57">
        <f ca="1">qm("1501",0,0)</f>
        <v>0</v>
      </c>
      <c r="D22" s="57">
        <f ca="1">qc("1501",0,1)</f>
        <v>0</v>
      </c>
      <c r="E22" s="75" t="s">
        <v>251</v>
      </c>
      <c r="F22" s="72">
        <v>46</v>
      </c>
      <c r="G22" s="73">
        <f ca="1">SUM(G18:G20)</f>
        <v>0</v>
      </c>
      <c r="H22" s="73">
        <f ca="1">SUM(H18:H20)</f>
        <v>0</v>
      </c>
    </row>
    <row r="23" spans="1:8" ht="18" customHeight="1" x14ac:dyDescent="0.15">
      <c r="A23" s="74" t="s">
        <v>235</v>
      </c>
      <c r="B23" s="58">
        <v>17</v>
      </c>
      <c r="C23" s="57">
        <f ca="1">qm("1511",0,0)</f>
        <v>0</v>
      </c>
      <c r="D23" s="57">
        <f ca="1">qc("1511",0,1)</f>
        <v>0</v>
      </c>
      <c r="E23" s="77" t="s">
        <v>253</v>
      </c>
      <c r="F23" s="59">
        <v>47</v>
      </c>
      <c r="G23" s="60">
        <f ca="1">G16+G22</f>
        <v>0</v>
      </c>
      <c r="H23" s="60">
        <f ca="1">H16+H22</f>
        <v>0</v>
      </c>
    </row>
    <row r="24" spans="1:8" ht="18" customHeight="1" x14ac:dyDescent="0.15">
      <c r="A24" s="74" t="s">
        <v>236</v>
      </c>
      <c r="B24" s="58">
        <v>18</v>
      </c>
      <c r="C24" s="57">
        <f ca="1">qm("1601",0,0)</f>
        <v>0</v>
      </c>
      <c r="D24" s="57">
        <f ca="1">qc("1601",0,1)</f>
        <v>0</v>
      </c>
      <c r="E24" s="74"/>
      <c r="F24" s="58"/>
      <c r="G24" s="57"/>
      <c r="H24" s="57"/>
    </row>
    <row r="25" spans="1:8" ht="18" customHeight="1" x14ac:dyDescent="0.15">
      <c r="A25" s="74" t="s">
        <v>182</v>
      </c>
      <c r="B25" s="58">
        <v>19</v>
      </c>
      <c r="C25" s="57">
        <f ca="1">qm("1602",0,0)</f>
        <v>0</v>
      </c>
      <c r="D25" s="57">
        <f ca="1">qc("1602",0,1)</f>
        <v>0</v>
      </c>
      <c r="E25" s="74"/>
      <c r="F25" s="58"/>
      <c r="G25" s="57"/>
      <c r="H25" s="57"/>
    </row>
    <row r="26" spans="1:8" ht="18" customHeight="1" x14ac:dyDescent="0.15">
      <c r="A26" s="74" t="s">
        <v>237</v>
      </c>
      <c r="B26" s="58">
        <v>20</v>
      </c>
      <c r="C26" s="57">
        <f ca="1">C24-C25</f>
        <v>0</v>
      </c>
      <c r="D26" s="57">
        <f ca="1">D24-D25</f>
        <v>0</v>
      </c>
      <c r="E26" s="74"/>
      <c r="F26" s="58"/>
      <c r="G26" s="57"/>
      <c r="H26" s="57"/>
    </row>
    <row r="27" spans="1:8" ht="18" customHeight="1" x14ac:dyDescent="0.15">
      <c r="A27" s="74" t="s">
        <v>238</v>
      </c>
      <c r="B27" s="58">
        <v>21</v>
      </c>
      <c r="C27" s="57">
        <f ca="1">qm("1604",0,0)</f>
        <v>0</v>
      </c>
      <c r="D27" s="57">
        <f ca="1">qc("1604",0,1)</f>
        <v>0</v>
      </c>
      <c r="E27" s="79"/>
      <c r="F27" s="58"/>
      <c r="G27" s="57"/>
      <c r="H27" s="57"/>
    </row>
    <row r="28" spans="1:8" ht="18" customHeight="1" x14ac:dyDescent="0.15">
      <c r="A28" s="74" t="s">
        <v>239</v>
      </c>
      <c r="B28" s="58">
        <v>22</v>
      </c>
      <c r="C28" s="57">
        <f ca="1">qm("1605",0,0)</f>
        <v>0</v>
      </c>
      <c r="D28" s="57">
        <f ca="1">qc("1605",0,1)</f>
        <v>0</v>
      </c>
      <c r="E28" s="74"/>
      <c r="F28" s="58"/>
      <c r="G28" s="57"/>
      <c r="H28" s="57"/>
    </row>
    <row r="29" spans="1:8" ht="18" customHeight="1" x14ac:dyDescent="0.15">
      <c r="A29" s="74" t="s">
        <v>240</v>
      </c>
      <c r="B29" s="58">
        <v>23</v>
      </c>
      <c r="C29" s="57">
        <f ca="1">qm("1606",0,0)</f>
        <v>0</v>
      </c>
      <c r="D29" s="57">
        <f ca="1">qc("1606",0,1)</f>
        <v>0</v>
      </c>
      <c r="E29" s="74"/>
      <c r="F29" s="58"/>
      <c r="G29" s="57"/>
      <c r="H29" s="57"/>
    </row>
    <row r="30" spans="1:8" ht="18" customHeight="1" x14ac:dyDescent="0.15">
      <c r="A30" s="74" t="s">
        <v>241</v>
      </c>
      <c r="B30" s="58">
        <v>24</v>
      </c>
      <c r="C30" s="57">
        <f ca="1">qm("1621",0,0)-qm("1622",0,0)</f>
        <v>0</v>
      </c>
      <c r="D30" s="57">
        <f ca="1">qc("1621",0,1)-qc("1622",0,1)</f>
        <v>0</v>
      </c>
      <c r="E30" s="74" t="s">
        <v>256</v>
      </c>
      <c r="F30" s="56"/>
      <c r="G30" s="56"/>
      <c r="H30" s="56"/>
    </row>
    <row r="31" spans="1:8" ht="18" customHeight="1" x14ac:dyDescent="0.15">
      <c r="A31" s="74" t="s">
        <v>242</v>
      </c>
      <c r="B31" s="58">
        <v>25</v>
      </c>
      <c r="C31" s="57">
        <f ca="1">qm("1701",0,0)-qm("1702",0,0)</f>
        <v>0</v>
      </c>
      <c r="D31" s="57">
        <f ca="1">qc("1701",0,1)-qc("1702",0,1)</f>
        <v>0</v>
      </c>
      <c r="E31" s="74" t="s">
        <v>243</v>
      </c>
      <c r="F31" s="58">
        <v>48</v>
      </c>
      <c r="G31" s="57">
        <f ca="1">qm("3001",0,0)</f>
        <v>7000</v>
      </c>
      <c r="H31" s="57">
        <f ca="1">qc("3001",0,1)</f>
        <v>7000</v>
      </c>
    </row>
    <row r="32" spans="1:8" ht="18" customHeight="1" x14ac:dyDescent="0.15">
      <c r="A32" s="74" t="s">
        <v>244</v>
      </c>
      <c r="B32" s="58">
        <v>26</v>
      </c>
      <c r="C32" s="57">
        <f ca="1">qm("4301",0,0)</f>
        <v>0</v>
      </c>
      <c r="D32" s="57">
        <f ca="1">qc("4301",0,1)</f>
        <v>0</v>
      </c>
      <c r="E32" s="74" t="s">
        <v>245</v>
      </c>
      <c r="F32" s="58">
        <v>49</v>
      </c>
      <c r="G32" s="57">
        <f ca="1">qm("3002",0,0)</f>
        <v>0</v>
      </c>
      <c r="H32" s="57">
        <f ca="1">qc("3002",0,1)</f>
        <v>0</v>
      </c>
    </row>
    <row r="33" spans="1:8" ht="18" customHeight="1" x14ac:dyDescent="0.15">
      <c r="A33" s="76" t="s">
        <v>246</v>
      </c>
      <c r="B33" s="58">
        <v>27</v>
      </c>
      <c r="C33" s="57">
        <f ca="1">qm("1801",0,0)</f>
        <v>0</v>
      </c>
      <c r="D33" s="57">
        <f ca="1">qc("1801",0,1)</f>
        <v>0</v>
      </c>
      <c r="E33" s="74" t="s">
        <v>247</v>
      </c>
      <c r="F33" s="58">
        <v>50</v>
      </c>
      <c r="G33" s="57">
        <f ca="1">qm("3101",0,0)</f>
        <v>0</v>
      </c>
      <c r="H33" s="57">
        <f ca="1">qc("3101",0,1)</f>
        <v>0</v>
      </c>
    </row>
    <row r="34" spans="1:8" ht="18" customHeight="1" x14ac:dyDescent="0.15">
      <c r="A34" s="74" t="s">
        <v>248</v>
      </c>
      <c r="B34" s="58">
        <v>28</v>
      </c>
      <c r="C34" s="57">
        <f ca="1">qm("1901.02",0,0)</f>
        <v>0</v>
      </c>
      <c r="D34" s="57">
        <f ca="1">qc("1901.02",0,1)</f>
        <v>0</v>
      </c>
      <c r="E34" s="74" t="s">
        <v>249</v>
      </c>
      <c r="F34" s="58">
        <v>51</v>
      </c>
      <c r="G34" s="57">
        <f ca="1">qm("3103",0,0)+qm("3104",0,0)</f>
        <v>0</v>
      </c>
      <c r="H34" s="57">
        <f ca="1">qc("3103",0,1)+qc("3104",0,1)</f>
        <v>0</v>
      </c>
    </row>
    <row r="35" spans="1:8" ht="18" customHeight="1" x14ac:dyDescent="0.15">
      <c r="A35" s="75" t="s">
        <v>257</v>
      </c>
      <c r="B35" s="72">
        <v>29</v>
      </c>
      <c r="C35" s="73">
        <f ca="1">SUM(C22:C23)+SUM(C26:C34)</f>
        <v>0</v>
      </c>
      <c r="D35" s="73">
        <f ca="1">SUM(D22:D23)+SUM(D26:D34)</f>
        <v>0</v>
      </c>
      <c r="E35" s="75" t="s">
        <v>255</v>
      </c>
      <c r="F35" s="72">
        <v>52</v>
      </c>
      <c r="G35" s="73">
        <f ca="1">SUM(G31:G34)</f>
        <v>7000</v>
      </c>
      <c r="H35" s="73">
        <f ca="1">SUM(H31:H34)</f>
        <v>7000</v>
      </c>
    </row>
    <row r="36" spans="1:8" ht="18" customHeight="1" x14ac:dyDescent="0.15">
      <c r="A36" s="77" t="s">
        <v>258</v>
      </c>
      <c r="B36" s="59">
        <v>30</v>
      </c>
      <c r="C36" s="60">
        <f ca="1">C20+C35</f>
        <v>7000</v>
      </c>
      <c r="D36" s="60">
        <f ca="1">D20+D35</f>
        <v>7000</v>
      </c>
      <c r="E36" s="77" t="s">
        <v>254</v>
      </c>
      <c r="F36" s="59">
        <v>53</v>
      </c>
      <c r="G36" s="60">
        <f ca="1">G23+G35</f>
        <v>7000</v>
      </c>
      <c r="H36" s="60">
        <f ca="1">H23+H35</f>
        <v>7000</v>
      </c>
    </row>
  </sheetData>
  <mergeCells count="3">
    <mergeCell ref="A1:H1"/>
    <mergeCell ref="A3:C3"/>
    <mergeCell ref="D3:E3"/>
  </mergeCells>
  <phoneticPr fontId="2" type="noConversion"/>
  <dataValidations count="1">
    <dataValidation type="date" allowBlank="1" showInputMessage="1" showErrorMessage="1" sqref="D3:E3" xr:uid="{00000000-0002-0000-0900-000000000000}">
      <formula1>29221</formula1>
      <formula2>73050</formula2>
    </dataValidation>
  </dataValidations>
  <pageMargins left="0.51181102362204722" right="0.51181102362204722" top="0.74803149606299213" bottom="0.74803149606299213" header="0.31496062992125984" footer="0.31496062992125984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25603" r:id="rId4" name="btn_SetReportPeriod">
          <controlPr print="0" autoLine="0" autoPict="0" r:id="rId5">
            <anchor moveWithCells="1">
              <from>
                <xdr:col>9</xdr:col>
                <xdr:colOff>390525</xdr:colOff>
                <xdr:row>0</xdr:row>
                <xdr:rowOff>0</xdr:rowOff>
              </from>
              <to>
                <xdr:col>10</xdr:col>
                <xdr:colOff>619125</xdr:colOff>
                <xdr:row>0</xdr:row>
                <xdr:rowOff>228600</xdr:rowOff>
              </to>
            </anchor>
          </controlPr>
        </control>
      </mc:Choice>
      <mc:Fallback>
        <control shapeId="25603" r:id="rId4" name="btn_SetReportPeriod"/>
      </mc:Fallback>
    </mc:AlternateContent>
    <mc:AlternateContent xmlns:mc="http://schemas.openxmlformats.org/markup-compatibility/2006">
      <mc:Choice Requires="x14">
        <control shapeId="25604" r:id="rId6" name="btn_Back">
          <controlPr autoLine="0" r:id="rId7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11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25604" r:id="rId6" name="btn_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36"/>
  <sheetViews>
    <sheetView showGridLines="0" showZero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4" sqref="G4"/>
    </sheetView>
  </sheetViews>
  <sheetFormatPr defaultRowHeight="13.5" x14ac:dyDescent="0.15"/>
  <cols>
    <col min="1" max="1" width="39.125" customWidth="1"/>
    <col min="2" max="2" width="7.25" customWidth="1"/>
    <col min="3" max="3" width="18.75" customWidth="1"/>
    <col min="4" max="4" width="19.75" customWidth="1"/>
  </cols>
  <sheetData>
    <row r="1" spans="1:5" ht="22.5" x14ac:dyDescent="0.15">
      <c r="A1" s="306" t="s">
        <v>183</v>
      </c>
      <c r="B1" s="306"/>
      <c r="C1" s="306"/>
      <c r="D1" s="306"/>
    </row>
    <row r="2" spans="1:5" ht="15" x14ac:dyDescent="0.15">
      <c r="A2" s="61"/>
      <c r="B2" s="61"/>
      <c r="C2" s="61"/>
      <c r="D2" s="231" t="s">
        <v>840</v>
      </c>
    </row>
    <row r="3" spans="1:5" x14ac:dyDescent="0.15">
      <c r="A3" s="230" t="str">
        <f>"编制单位：" &amp;单位名称</f>
        <v>编制单位：浙江晴天服饰有限公司</v>
      </c>
      <c r="B3" s="307">
        <v>43496</v>
      </c>
      <c r="C3" s="307"/>
      <c r="D3" s="232" t="s">
        <v>177</v>
      </c>
    </row>
    <row r="4" spans="1:5" ht="24" customHeight="1" x14ac:dyDescent="0.15">
      <c r="A4" s="66" t="s">
        <v>268</v>
      </c>
      <c r="B4" s="66" t="s">
        <v>178</v>
      </c>
      <c r="C4" s="66" t="s">
        <v>269</v>
      </c>
      <c r="D4" s="66" t="s">
        <v>270</v>
      </c>
    </row>
    <row r="5" spans="1:5" ht="18" customHeight="1" x14ac:dyDescent="0.15">
      <c r="A5" s="96" t="s">
        <v>271</v>
      </c>
      <c r="B5" s="94">
        <v>1</v>
      </c>
      <c r="C5" s="95">
        <f ca="1">dL("5001",0,0)+dL("5051",0,0)</f>
        <v>0</v>
      </c>
      <c r="D5" s="95">
        <f ca="1">dF("5001",0,0)+dF("5051",0,0)</f>
        <v>0</v>
      </c>
    </row>
    <row r="6" spans="1:5" ht="18" customHeight="1" x14ac:dyDescent="0.15">
      <c r="A6" s="62" t="s">
        <v>272</v>
      </c>
      <c r="B6" s="64">
        <v>2</v>
      </c>
      <c r="C6" s="65">
        <f ca="1">jl("5401",0,0)+jl("5402",0,0)</f>
        <v>0</v>
      </c>
      <c r="D6" s="65">
        <f ca="1">jf("5401",2019,5)+jf("5402",2019,5)</f>
        <v>0</v>
      </c>
    </row>
    <row r="7" spans="1:5" ht="18" customHeight="1" x14ac:dyDescent="0.15">
      <c r="A7" s="62" t="s">
        <v>683</v>
      </c>
      <c r="B7" s="64">
        <v>3</v>
      </c>
      <c r="C7" s="65">
        <f ca="1">jl("5403",0,0)</f>
        <v>0</v>
      </c>
      <c r="D7" s="65">
        <f ca="1">jf("5403",0,0)</f>
        <v>0</v>
      </c>
    </row>
    <row r="8" spans="1:5" ht="18" customHeight="1" x14ac:dyDescent="0.15">
      <c r="A8" s="89" t="s">
        <v>686</v>
      </c>
      <c r="B8" s="90">
        <v>4</v>
      </c>
      <c r="C8" s="91">
        <f ca="1">jl("540301",0,0)</f>
        <v>0</v>
      </c>
      <c r="D8" s="91">
        <f ca="1">jf("540301",0,0)</f>
        <v>0</v>
      </c>
    </row>
    <row r="9" spans="1:5" ht="18" customHeight="1" x14ac:dyDescent="0.15">
      <c r="A9" s="62" t="s">
        <v>687</v>
      </c>
      <c r="B9" s="64">
        <v>5</v>
      </c>
      <c r="C9" s="65">
        <f ca="1">jl("540302",0,0)</f>
        <v>0</v>
      </c>
      <c r="D9" s="65">
        <f ca="1">jf("540302",0,0)</f>
        <v>0</v>
      </c>
      <c r="E9" s="13"/>
    </row>
    <row r="10" spans="1:5" ht="18" customHeight="1" x14ac:dyDescent="0.15">
      <c r="A10" s="62" t="s">
        <v>688</v>
      </c>
      <c r="B10" s="64">
        <v>6</v>
      </c>
      <c r="C10" s="65">
        <f ca="1">jl("5403",0,0)</f>
        <v>0</v>
      </c>
      <c r="D10" s="65">
        <f ca="1">jf("5403",0,0)</f>
        <v>0</v>
      </c>
      <c r="E10" s="13"/>
    </row>
    <row r="11" spans="1:5" ht="18" customHeight="1" x14ac:dyDescent="0.15">
      <c r="A11" s="89" t="s">
        <v>689</v>
      </c>
      <c r="B11" s="90">
        <v>7</v>
      </c>
      <c r="C11" s="91">
        <f ca="1">jl("5404",0,0)</f>
        <v>0</v>
      </c>
      <c r="D11" s="91">
        <f ca="1">jf("5404",0,0)</f>
        <v>0</v>
      </c>
    </row>
    <row r="12" spans="1:5" ht="18" customHeight="1" x14ac:dyDescent="0.15">
      <c r="A12" s="88" t="s">
        <v>690</v>
      </c>
      <c r="B12" s="64">
        <v>8</v>
      </c>
      <c r="C12" s="65">
        <f ca="1">jl("5405",0,0)</f>
        <v>0</v>
      </c>
      <c r="D12" s="65">
        <f ca="1">jf("5405",0,0)</f>
        <v>0</v>
      </c>
    </row>
    <row r="13" spans="1:5" ht="18" customHeight="1" x14ac:dyDescent="0.15">
      <c r="A13" s="88" t="s">
        <v>691</v>
      </c>
      <c r="B13" s="64">
        <v>9</v>
      </c>
      <c r="C13" s="65">
        <f ca="1">jl("5406",0,0)+jl("5407",0,0)+jl("5408",0,0)+jl("5409",0,0)</f>
        <v>0</v>
      </c>
      <c r="D13" s="65">
        <f ca="1">jf("5406",0,0)+jf("5407",0,0)+jf("5408",0,0)+jf("5409",0,0)</f>
        <v>0</v>
      </c>
    </row>
    <row r="14" spans="1:5" ht="18" customHeight="1" x14ac:dyDescent="0.15">
      <c r="A14" s="88" t="s">
        <v>692</v>
      </c>
      <c r="B14" s="64">
        <v>10</v>
      </c>
      <c r="C14" s="65">
        <f ca="1">jl("5410",0,0)+jl("5411",0,0)+jl("5412",0,0)</f>
        <v>0</v>
      </c>
      <c r="D14" s="65">
        <f ca="1">jf("5410",0,0)+jf("5411",0,0)+jf("5412",0,0)</f>
        <v>0</v>
      </c>
    </row>
    <row r="15" spans="1:5" ht="18" customHeight="1" x14ac:dyDescent="0.15">
      <c r="A15" s="89" t="s">
        <v>684</v>
      </c>
      <c r="B15" s="90">
        <v>11</v>
      </c>
      <c r="C15" s="91">
        <f ca="1">jl("5601",0,0)</f>
        <v>0</v>
      </c>
      <c r="D15" s="91">
        <f ca="1">jf("5601",0,0)</f>
        <v>0</v>
      </c>
    </row>
    <row r="16" spans="1:5" ht="18" customHeight="1" x14ac:dyDescent="0.15">
      <c r="A16" s="92" t="s">
        <v>685</v>
      </c>
      <c r="B16" s="64">
        <v>12</v>
      </c>
      <c r="C16" s="65">
        <f ca="1">jl("560102",0,0)</f>
        <v>0</v>
      </c>
      <c r="D16" s="65">
        <f ca="1">jf("560102",0,0)</f>
        <v>0</v>
      </c>
    </row>
    <row r="17" spans="1:4" ht="18" customHeight="1" x14ac:dyDescent="0.15">
      <c r="A17" s="92" t="s">
        <v>693</v>
      </c>
      <c r="B17" s="64">
        <v>13</v>
      </c>
      <c r="C17" s="65">
        <f ca="1">jl("560107",0,0)</f>
        <v>0</v>
      </c>
      <c r="D17" s="65">
        <f ca="1">jf("560107",0,0)</f>
        <v>0</v>
      </c>
    </row>
    <row r="18" spans="1:4" ht="18" customHeight="1" x14ac:dyDescent="0.15">
      <c r="A18" s="92" t="s">
        <v>694</v>
      </c>
      <c r="B18" s="64">
        <v>14</v>
      </c>
      <c r="C18" s="65">
        <f ca="1">jl("5602",0,0)</f>
        <v>0</v>
      </c>
      <c r="D18" s="65">
        <f ca="1">jf("5602",0,0)</f>
        <v>0</v>
      </c>
    </row>
    <row r="19" spans="1:4" ht="18" customHeight="1" x14ac:dyDescent="0.15">
      <c r="A19" s="63" t="s">
        <v>280</v>
      </c>
      <c r="B19" s="64">
        <v>15</v>
      </c>
      <c r="C19" s="65">
        <f ca="1">jl("5601",0,0)</f>
        <v>0</v>
      </c>
      <c r="D19" s="65">
        <f ca="1">jf("5602.01",0,0)</f>
        <v>0</v>
      </c>
    </row>
    <row r="20" spans="1:4" ht="18" customHeight="1" x14ac:dyDescent="0.15">
      <c r="A20" s="89" t="s">
        <v>695</v>
      </c>
      <c r="B20" s="90">
        <v>16</v>
      </c>
      <c r="C20" s="91">
        <f ca="1">jl("560208",0,0)</f>
        <v>0</v>
      </c>
      <c r="D20" s="91">
        <f ca="1">jf("560208",0,0)</f>
        <v>0</v>
      </c>
    </row>
    <row r="21" spans="1:4" ht="18" customHeight="1" x14ac:dyDescent="0.15">
      <c r="A21" s="92" t="s">
        <v>696</v>
      </c>
      <c r="B21" s="64">
        <v>17</v>
      </c>
      <c r="C21" s="65">
        <f ca="1">jl("560209",0,0)</f>
        <v>0</v>
      </c>
      <c r="D21" s="65">
        <f ca="1">jf("560209",0,0)</f>
        <v>0</v>
      </c>
    </row>
    <row r="22" spans="1:4" ht="18" customHeight="1" x14ac:dyDescent="0.15">
      <c r="A22" s="89" t="s">
        <v>697</v>
      </c>
      <c r="B22" s="90">
        <v>18</v>
      </c>
      <c r="C22" s="91">
        <f ca="1">jl("5603",0,0)</f>
        <v>0</v>
      </c>
      <c r="D22" s="91">
        <f ca="1">jf("5603",0,0)</f>
        <v>0</v>
      </c>
    </row>
    <row r="23" spans="1:4" ht="18" customHeight="1" x14ac:dyDescent="0.15">
      <c r="A23" s="63" t="s">
        <v>698</v>
      </c>
      <c r="B23" s="64">
        <v>19</v>
      </c>
      <c r="C23" s="65">
        <f ca="1">jl("560301",0,0)</f>
        <v>0</v>
      </c>
      <c r="D23" s="65">
        <f ca="1">jf("560301",0,0)</f>
        <v>0</v>
      </c>
    </row>
    <row r="24" spans="1:4" ht="18" customHeight="1" x14ac:dyDescent="0.15">
      <c r="A24" s="63" t="s">
        <v>273</v>
      </c>
      <c r="B24" s="64">
        <v>20</v>
      </c>
      <c r="C24" s="65">
        <f ca="1">dL("5111",0,0)</f>
        <v>0</v>
      </c>
      <c r="D24" s="65">
        <f ca="1">dF("5111",0,0)</f>
        <v>0</v>
      </c>
    </row>
    <row r="25" spans="1:4" ht="18" customHeight="1" x14ac:dyDescent="0.15">
      <c r="A25" s="93" t="s">
        <v>274</v>
      </c>
      <c r="B25" s="94">
        <v>21</v>
      </c>
      <c r="C25" s="95">
        <f ca="1">C5-C6-C7-C15-C18-C22+C24</f>
        <v>0</v>
      </c>
      <c r="D25" s="95">
        <f ca="1">D5-D6-D7-D15-D18-D22+D24</f>
        <v>0</v>
      </c>
    </row>
    <row r="26" spans="1:4" ht="18" customHeight="1" x14ac:dyDescent="0.15">
      <c r="A26" s="63" t="s">
        <v>275</v>
      </c>
      <c r="B26" s="64">
        <v>22</v>
      </c>
      <c r="C26" s="65">
        <f ca="1">dL("5301",0,0)</f>
        <v>0</v>
      </c>
      <c r="D26" s="65">
        <f ca="1">dF("5301",0,0)</f>
        <v>0</v>
      </c>
    </row>
    <row r="27" spans="1:4" ht="18" customHeight="1" x14ac:dyDescent="0.15">
      <c r="A27" s="89" t="s">
        <v>699</v>
      </c>
      <c r="B27" s="64">
        <v>23</v>
      </c>
      <c r="C27" s="65">
        <f ca="1">dL("530102",0,0)</f>
        <v>0</v>
      </c>
      <c r="D27" s="65">
        <f ca="1">dF("530102",0,0)</f>
        <v>0</v>
      </c>
    </row>
    <row r="28" spans="1:4" ht="18" customHeight="1" x14ac:dyDescent="0.15">
      <c r="A28" s="63" t="s">
        <v>276</v>
      </c>
      <c r="B28" s="64">
        <v>24</v>
      </c>
      <c r="C28" s="65">
        <f ca="1">jl("5711",0,0)</f>
        <v>0</v>
      </c>
      <c r="D28" s="65">
        <f ca="1">jf("5711",0,0)</f>
        <v>0</v>
      </c>
    </row>
    <row r="29" spans="1:4" ht="18" customHeight="1" x14ac:dyDescent="0.15">
      <c r="A29" s="89" t="s">
        <v>700</v>
      </c>
      <c r="B29" s="64">
        <v>25</v>
      </c>
      <c r="C29" s="65">
        <f ca="1">jl("571103",0,0)</f>
        <v>0</v>
      </c>
      <c r="D29" s="65">
        <f ca="1">jf("571103",0,0)</f>
        <v>0</v>
      </c>
    </row>
    <row r="30" spans="1:4" ht="18" customHeight="1" x14ac:dyDescent="0.15">
      <c r="A30" s="62" t="s">
        <v>701</v>
      </c>
      <c r="B30" s="64">
        <v>26</v>
      </c>
      <c r="C30" s="65">
        <f ca="1">jl("571104",0,0)</f>
        <v>0</v>
      </c>
      <c r="D30" s="65">
        <f ca="1">jf("571104",0,0)</f>
        <v>0</v>
      </c>
    </row>
    <row r="31" spans="1:4" ht="18" customHeight="1" x14ac:dyDescent="0.15">
      <c r="A31" s="62" t="s">
        <v>702</v>
      </c>
      <c r="B31" s="64">
        <v>27</v>
      </c>
      <c r="C31" s="65">
        <f ca="1">jl("571105",0,0)</f>
        <v>0</v>
      </c>
      <c r="D31" s="65">
        <f ca="1">jf("571105",0,0)</f>
        <v>0</v>
      </c>
    </row>
    <row r="32" spans="1:4" ht="18" customHeight="1" x14ac:dyDescent="0.15">
      <c r="A32" s="62" t="s">
        <v>703</v>
      </c>
      <c r="B32" s="64">
        <v>28</v>
      </c>
      <c r="C32" s="65">
        <f ca="1">jl("571106",0,0)</f>
        <v>0</v>
      </c>
      <c r="D32" s="65">
        <f ca="1">jf("571106",0,0)</f>
        <v>0</v>
      </c>
    </row>
    <row r="33" spans="1:4" ht="18" customHeight="1" x14ac:dyDescent="0.15">
      <c r="A33" s="62" t="s">
        <v>704</v>
      </c>
      <c r="B33" s="64">
        <v>29</v>
      </c>
      <c r="C33" s="65">
        <f ca="1">jl("571107",0,0)</f>
        <v>0</v>
      </c>
      <c r="D33" s="65">
        <f ca="1">jf("571107",0,0)</f>
        <v>0</v>
      </c>
    </row>
    <row r="34" spans="1:4" ht="18" customHeight="1" x14ac:dyDescent="0.15">
      <c r="A34" s="93" t="s">
        <v>277</v>
      </c>
      <c r="B34" s="94">
        <v>30</v>
      </c>
      <c r="C34" s="95">
        <f ca="1">C25+C26-C28</f>
        <v>0</v>
      </c>
      <c r="D34" s="95">
        <f ca="1">D25+D26-D28</f>
        <v>0</v>
      </c>
    </row>
    <row r="35" spans="1:4" ht="18" customHeight="1" x14ac:dyDescent="0.15">
      <c r="A35" s="63" t="s">
        <v>278</v>
      </c>
      <c r="B35" s="64">
        <v>31</v>
      </c>
      <c r="C35" s="65">
        <f ca="1">jl("5801",0,0)</f>
        <v>0</v>
      </c>
      <c r="D35" s="65">
        <f ca="1">jf("5801",0,0)</f>
        <v>0</v>
      </c>
    </row>
    <row r="36" spans="1:4" ht="18" customHeight="1" x14ac:dyDescent="0.15">
      <c r="A36" s="93" t="s">
        <v>279</v>
      </c>
      <c r="B36" s="94">
        <v>32</v>
      </c>
      <c r="C36" s="95">
        <f ca="1">C34-C35</f>
        <v>0</v>
      </c>
      <c r="D36" s="95">
        <f ca="1">D34-D35</f>
        <v>0</v>
      </c>
    </row>
  </sheetData>
  <mergeCells count="2">
    <mergeCell ref="A1:D1"/>
    <mergeCell ref="B3:C3"/>
  </mergeCells>
  <phoneticPr fontId="2" type="noConversion"/>
  <dataValidations count="2">
    <dataValidation type="decimal" allowBlank="1" showInputMessage="1" showErrorMessage="1" sqref="H5" xr:uid="{00000000-0002-0000-0A00-000000000000}">
      <formula1>-9999999999</formula1>
      <formula2>9999999999</formula2>
    </dataValidation>
    <dataValidation type="date" allowBlank="1" showInputMessage="1" showErrorMessage="1" sqref="B3:C3" xr:uid="{00000000-0002-0000-0A00-000001000000}">
      <formula1>29221</formula1>
      <formula2>401768</formula2>
    </dataValidation>
  </dataValidations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5122" r:id="rId4" name="btn_SetReportPeriod">
          <controlPr autoLine="0" autoPict="0" r:id="rId5">
            <anchor moveWithCells="1">
              <from>
                <xdr:col>6</xdr:col>
                <xdr:colOff>209550</xdr:colOff>
                <xdr:row>0</xdr:row>
                <xdr:rowOff>0</xdr:rowOff>
              </from>
              <to>
                <xdr:col>7</xdr:col>
                <xdr:colOff>438150</xdr:colOff>
                <xdr:row>0</xdr:row>
                <xdr:rowOff>228600</xdr:rowOff>
              </to>
            </anchor>
          </controlPr>
        </control>
      </mc:Choice>
      <mc:Fallback>
        <control shapeId="5122" r:id="rId4" name="btn_SetReportPeriod"/>
      </mc:Fallback>
    </mc:AlternateContent>
    <mc:AlternateContent xmlns:mc="http://schemas.openxmlformats.org/markup-compatibility/2006">
      <mc:Choice Requires="x14">
        <control shapeId="5123" r:id="rId6" name="btn_Back">
          <controlPr autoLine="0" r:id="rId7">
            <anchor moveWithCells="1">
              <from>
                <xdr:col>7</xdr:col>
                <xdr:colOff>504825</xdr:colOff>
                <xdr:row>0</xdr:row>
                <xdr:rowOff>0</xdr:rowOff>
              </from>
              <to>
                <xdr:col>8</xdr:col>
                <xdr:colOff>428625</xdr:colOff>
                <xdr:row>0</xdr:row>
                <xdr:rowOff>228600</xdr:rowOff>
              </to>
            </anchor>
          </controlPr>
        </control>
      </mc:Choice>
      <mc:Fallback>
        <control shapeId="5123" r:id="rId6" name="btn_Back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M66"/>
  <sheetViews>
    <sheetView topLeftCell="A49" zoomScale="115" zoomScaleNormal="115" workbookViewId="0">
      <selection activeCell="C59" sqref="C59"/>
    </sheetView>
  </sheetViews>
  <sheetFormatPr defaultRowHeight="13.5" x14ac:dyDescent="0.15"/>
  <cols>
    <col min="1" max="1" width="8.25" customWidth="1"/>
    <col min="2" max="2" width="8.125" customWidth="1"/>
    <col min="3" max="3" width="14.25" customWidth="1"/>
    <col min="4" max="4" width="12.625" customWidth="1"/>
    <col min="5" max="5" width="7.875" customWidth="1"/>
    <col min="6" max="6" width="8.625" customWidth="1"/>
    <col min="7" max="7" width="6.125" customWidth="1"/>
    <col min="8" max="8" width="8.625" customWidth="1"/>
    <col min="9" max="9" width="6.5" customWidth="1"/>
    <col min="10" max="10" width="7.375" customWidth="1"/>
    <col min="11" max="11" width="7.5" customWidth="1"/>
    <col min="12" max="12" width="7.25" customWidth="1"/>
    <col min="13" max="13" width="6.875" customWidth="1"/>
  </cols>
  <sheetData>
    <row r="1" spans="1:13" x14ac:dyDescent="0.15">
      <c r="A1" t="s">
        <v>86</v>
      </c>
      <c r="B1" t="s">
        <v>72</v>
      </c>
      <c r="C1" t="s">
        <v>73</v>
      </c>
      <c r="D1" t="s">
        <v>79</v>
      </c>
      <c r="E1" t="s">
        <v>80</v>
      </c>
      <c r="F1" t="s">
        <v>76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87</v>
      </c>
      <c r="M1" t="s">
        <v>88</v>
      </c>
    </row>
    <row r="2" spans="1:13" x14ac:dyDescent="0.15">
      <c r="B2" s="15">
        <v>1001</v>
      </c>
      <c r="C2" s="16" t="s">
        <v>10</v>
      </c>
      <c r="D2" s="16" t="s">
        <v>10</v>
      </c>
      <c r="E2">
        <v>1</v>
      </c>
      <c r="F2" t="s">
        <v>77</v>
      </c>
      <c r="G2">
        <v>1</v>
      </c>
      <c r="H2">
        <v>1</v>
      </c>
      <c r="I2">
        <v>0</v>
      </c>
      <c r="J2">
        <v>0</v>
      </c>
      <c r="K2">
        <v>0</v>
      </c>
      <c r="L2">
        <v>1</v>
      </c>
      <c r="M2">
        <v>1</v>
      </c>
    </row>
    <row r="3" spans="1:13" x14ac:dyDescent="0.15">
      <c r="B3" s="17" t="s">
        <v>9</v>
      </c>
      <c r="C3" s="18" t="s">
        <v>7</v>
      </c>
      <c r="D3" s="18" t="s">
        <v>7</v>
      </c>
      <c r="E3">
        <v>1</v>
      </c>
      <c r="F3" t="s">
        <v>77</v>
      </c>
      <c r="G3">
        <v>1</v>
      </c>
      <c r="H3">
        <v>0</v>
      </c>
      <c r="I3">
        <v>1</v>
      </c>
      <c r="J3">
        <v>0</v>
      </c>
      <c r="K3">
        <v>0</v>
      </c>
      <c r="L3">
        <v>1</v>
      </c>
      <c r="M3">
        <v>1</v>
      </c>
    </row>
    <row r="4" spans="1:13" x14ac:dyDescent="0.15">
      <c r="B4" s="15">
        <v>1012</v>
      </c>
      <c r="C4" s="15" t="s">
        <v>11</v>
      </c>
      <c r="D4" s="15" t="s">
        <v>11</v>
      </c>
      <c r="E4">
        <v>1</v>
      </c>
      <c r="F4" t="s">
        <v>77</v>
      </c>
      <c r="G4">
        <v>1</v>
      </c>
      <c r="H4">
        <v>0</v>
      </c>
      <c r="I4">
        <v>0</v>
      </c>
      <c r="J4">
        <v>1</v>
      </c>
      <c r="K4">
        <v>0</v>
      </c>
      <c r="L4">
        <v>1</v>
      </c>
      <c r="M4">
        <v>1</v>
      </c>
    </row>
    <row r="5" spans="1:13" x14ac:dyDescent="0.15">
      <c r="B5" s="15">
        <v>1101</v>
      </c>
      <c r="C5" s="16" t="s">
        <v>12</v>
      </c>
      <c r="D5" s="16" t="s">
        <v>12</v>
      </c>
      <c r="E5">
        <v>1</v>
      </c>
      <c r="F5" t="s">
        <v>77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1</v>
      </c>
    </row>
    <row r="6" spans="1:13" x14ac:dyDescent="0.15">
      <c r="B6" s="15">
        <v>1121</v>
      </c>
      <c r="C6" s="16" t="s">
        <v>13</v>
      </c>
      <c r="D6" s="16" t="s">
        <v>13</v>
      </c>
      <c r="E6">
        <v>1</v>
      </c>
      <c r="F6" t="s">
        <v>77</v>
      </c>
      <c r="G6">
        <v>1</v>
      </c>
      <c r="H6">
        <v>0</v>
      </c>
      <c r="I6">
        <v>0</v>
      </c>
      <c r="J6">
        <v>0</v>
      </c>
      <c r="K6">
        <v>0</v>
      </c>
      <c r="L6">
        <v>1</v>
      </c>
      <c r="M6">
        <v>1</v>
      </c>
    </row>
    <row r="7" spans="1:13" x14ac:dyDescent="0.15">
      <c r="B7" s="15">
        <v>1131</v>
      </c>
      <c r="C7" s="21" t="s">
        <v>75</v>
      </c>
      <c r="D7" s="21" t="s">
        <v>75</v>
      </c>
      <c r="E7">
        <v>1</v>
      </c>
      <c r="F7" t="s">
        <v>77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</row>
    <row r="8" spans="1:13" x14ac:dyDescent="0.15">
      <c r="B8" s="15">
        <v>1132</v>
      </c>
      <c r="C8" s="21" t="s">
        <v>74</v>
      </c>
      <c r="D8" s="21" t="s">
        <v>74</v>
      </c>
      <c r="E8">
        <v>1</v>
      </c>
      <c r="F8" t="s">
        <v>77</v>
      </c>
      <c r="G8">
        <v>1</v>
      </c>
      <c r="H8">
        <v>0</v>
      </c>
      <c r="I8">
        <v>0</v>
      </c>
      <c r="J8">
        <v>0</v>
      </c>
      <c r="K8">
        <v>0</v>
      </c>
      <c r="L8">
        <v>1</v>
      </c>
      <c r="M8">
        <v>1</v>
      </c>
    </row>
    <row r="9" spans="1:13" x14ac:dyDescent="0.15">
      <c r="B9" s="15">
        <v>1122</v>
      </c>
      <c r="C9" s="16" t="s">
        <v>14</v>
      </c>
      <c r="D9" s="16" t="s">
        <v>14</v>
      </c>
      <c r="E9">
        <v>1</v>
      </c>
      <c r="F9" t="s">
        <v>77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</row>
    <row r="10" spans="1:13" x14ac:dyDescent="0.15">
      <c r="B10" s="15">
        <v>1123</v>
      </c>
      <c r="C10" s="16" t="s">
        <v>15</v>
      </c>
      <c r="D10" s="16" t="s">
        <v>15</v>
      </c>
      <c r="E10">
        <v>1</v>
      </c>
      <c r="F10" t="s">
        <v>77</v>
      </c>
      <c r="G10">
        <v>1</v>
      </c>
      <c r="H10">
        <v>0</v>
      </c>
      <c r="I10">
        <v>0</v>
      </c>
      <c r="J10">
        <v>0</v>
      </c>
      <c r="K10">
        <v>0</v>
      </c>
      <c r="L10">
        <v>1</v>
      </c>
      <c r="M10">
        <v>1</v>
      </c>
    </row>
    <row r="11" spans="1:13" x14ac:dyDescent="0.15">
      <c r="B11" s="15">
        <v>1221</v>
      </c>
      <c r="C11" s="16" t="s">
        <v>16</v>
      </c>
      <c r="D11" s="16" t="s">
        <v>16</v>
      </c>
      <c r="E11">
        <v>1</v>
      </c>
      <c r="F11" t="s">
        <v>77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</row>
    <row r="12" spans="1:13" x14ac:dyDescent="0.15">
      <c r="B12" s="15">
        <v>1402</v>
      </c>
      <c r="C12" s="16" t="s">
        <v>17</v>
      </c>
      <c r="D12" s="16" t="s">
        <v>17</v>
      </c>
      <c r="E12">
        <v>1</v>
      </c>
      <c r="F12" t="s">
        <v>77</v>
      </c>
      <c r="G12">
        <v>1</v>
      </c>
      <c r="H12">
        <v>0</v>
      </c>
      <c r="I12">
        <v>0</v>
      </c>
      <c r="J12">
        <v>0</v>
      </c>
      <c r="K12">
        <v>0</v>
      </c>
      <c r="L12">
        <v>1</v>
      </c>
      <c r="M12">
        <v>1</v>
      </c>
    </row>
    <row r="13" spans="1:13" x14ac:dyDescent="0.15">
      <c r="B13" s="15">
        <v>1401</v>
      </c>
      <c r="C13" s="16" t="s">
        <v>18</v>
      </c>
      <c r="D13" s="16" t="s">
        <v>18</v>
      </c>
      <c r="E13">
        <v>1</v>
      </c>
      <c r="F13" t="s">
        <v>77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1</v>
      </c>
    </row>
    <row r="14" spans="1:13" x14ac:dyDescent="0.15">
      <c r="B14" s="15">
        <v>1403</v>
      </c>
      <c r="C14" s="16" t="s">
        <v>19</v>
      </c>
      <c r="D14" s="16" t="s">
        <v>19</v>
      </c>
      <c r="E14">
        <v>1</v>
      </c>
      <c r="F14" t="s">
        <v>77</v>
      </c>
      <c r="G14">
        <v>1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</row>
    <row r="15" spans="1:13" x14ac:dyDescent="0.15">
      <c r="B15" s="19">
        <v>1404</v>
      </c>
      <c r="C15" s="20" t="s">
        <v>20</v>
      </c>
      <c r="D15" s="20" t="s">
        <v>20</v>
      </c>
      <c r="E15">
        <v>1</v>
      </c>
      <c r="F15" t="s">
        <v>77</v>
      </c>
      <c r="G15">
        <v>1</v>
      </c>
      <c r="H15">
        <v>0</v>
      </c>
      <c r="I15">
        <v>0</v>
      </c>
      <c r="J15">
        <v>0</v>
      </c>
      <c r="K15">
        <v>0</v>
      </c>
      <c r="L15">
        <v>1</v>
      </c>
      <c r="M15">
        <v>1</v>
      </c>
    </row>
    <row r="16" spans="1:13" x14ac:dyDescent="0.15">
      <c r="B16" s="15">
        <v>1411</v>
      </c>
      <c r="C16" s="16" t="s">
        <v>21</v>
      </c>
      <c r="D16" s="16" t="s">
        <v>21</v>
      </c>
      <c r="E16">
        <v>1</v>
      </c>
      <c r="F16" t="s">
        <v>77</v>
      </c>
      <c r="G16">
        <v>1</v>
      </c>
      <c r="H16">
        <v>0</v>
      </c>
      <c r="I16">
        <v>0</v>
      </c>
      <c r="J16">
        <v>0</v>
      </c>
      <c r="K16">
        <v>0</v>
      </c>
      <c r="L16">
        <v>1</v>
      </c>
      <c r="M16">
        <v>1</v>
      </c>
    </row>
    <row r="17" spans="2:13" x14ac:dyDescent="0.15">
      <c r="B17" s="15">
        <v>1405</v>
      </c>
      <c r="C17" s="16" t="s">
        <v>22</v>
      </c>
      <c r="D17" s="16" t="s">
        <v>22</v>
      </c>
      <c r="E17">
        <v>1</v>
      </c>
      <c r="F17" t="s">
        <v>77</v>
      </c>
      <c r="G17">
        <v>1</v>
      </c>
      <c r="H17">
        <v>0</v>
      </c>
      <c r="I17">
        <v>0</v>
      </c>
      <c r="J17">
        <v>0</v>
      </c>
      <c r="K17">
        <v>0</v>
      </c>
      <c r="L17">
        <v>1</v>
      </c>
      <c r="M17">
        <v>1</v>
      </c>
    </row>
    <row r="18" spans="2:13" x14ac:dyDescent="0.15">
      <c r="B18" s="15">
        <v>1407</v>
      </c>
      <c r="C18" s="16" t="s">
        <v>23</v>
      </c>
      <c r="D18" s="16" t="s">
        <v>23</v>
      </c>
      <c r="E18">
        <v>1</v>
      </c>
      <c r="F18" t="s">
        <v>77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1</v>
      </c>
    </row>
    <row r="19" spans="2:13" x14ac:dyDescent="0.15">
      <c r="B19" s="15">
        <v>1408</v>
      </c>
      <c r="C19" s="16" t="s">
        <v>24</v>
      </c>
      <c r="D19" s="16" t="s">
        <v>24</v>
      </c>
      <c r="E19">
        <v>1</v>
      </c>
      <c r="F19" t="s">
        <v>77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1</v>
      </c>
    </row>
    <row r="20" spans="2:13" x14ac:dyDescent="0.15">
      <c r="B20" s="19">
        <v>1421</v>
      </c>
      <c r="C20" s="20" t="s">
        <v>25</v>
      </c>
      <c r="D20" s="20" t="s">
        <v>25</v>
      </c>
      <c r="E20">
        <v>1</v>
      </c>
      <c r="F20" t="s">
        <v>77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1</v>
      </c>
    </row>
    <row r="21" spans="2:13" x14ac:dyDescent="0.15">
      <c r="B21" s="19">
        <v>1511</v>
      </c>
      <c r="C21" s="20" t="s">
        <v>26</v>
      </c>
      <c r="D21" s="20" t="s">
        <v>26</v>
      </c>
      <c r="E21">
        <v>1</v>
      </c>
      <c r="F21" t="s">
        <v>77</v>
      </c>
      <c r="G21">
        <v>1</v>
      </c>
      <c r="H21">
        <v>0</v>
      </c>
      <c r="I21">
        <v>0</v>
      </c>
      <c r="J21">
        <v>0</v>
      </c>
      <c r="K21">
        <v>0</v>
      </c>
      <c r="L21">
        <v>1</v>
      </c>
      <c r="M21">
        <v>1</v>
      </c>
    </row>
    <row r="22" spans="2:13" x14ac:dyDescent="0.15">
      <c r="B22" s="15">
        <v>1501</v>
      </c>
      <c r="C22" s="16" t="s">
        <v>27</v>
      </c>
      <c r="D22" s="16" t="s">
        <v>27</v>
      </c>
      <c r="E22">
        <v>1</v>
      </c>
      <c r="F22" t="s">
        <v>77</v>
      </c>
      <c r="G22">
        <v>1</v>
      </c>
      <c r="H22">
        <v>0</v>
      </c>
      <c r="I22">
        <v>0</v>
      </c>
      <c r="J22">
        <v>0</v>
      </c>
      <c r="K22">
        <v>0</v>
      </c>
      <c r="L22">
        <v>1</v>
      </c>
      <c r="M22">
        <v>1</v>
      </c>
    </row>
    <row r="23" spans="2:13" x14ac:dyDescent="0.15">
      <c r="B23" s="19">
        <v>1601</v>
      </c>
      <c r="C23" s="20" t="s">
        <v>28</v>
      </c>
      <c r="D23" s="20" t="s">
        <v>28</v>
      </c>
      <c r="E23">
        <v>1</v>
      </c>
      <c r="F23" t="s">
        <v>77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1</v>
      </c>
    </row>
    <row r="24" spans="2:13" x14ac:dyDescent="0.15">
      <c r="B24" s="15">
        <v>1602</v>
      </c>
      <c r="C24" s="16" t="s">
        <v>29</v>
      </c>
      <c r="D24" s="16" t="s">
        <v>29</v>
      </c>
      <c r="E24">
        <v>1</v>
      </c>
      <c r="F24" t="s">
        <v>78</v>
      </c>
      <c r="G24">
        <v>1</v>
      </c>
      <c r="H24">
        <v>0</v>
      </c>
      <c r="I24">
        <v>0</v>
      </c>
      <c r="J24">
        <v>0</v>
      </c>
      <c r="K24">
        <v>0</v>
      </c>
      <c r="L24">
        <v>1</v>
      </c>
      <c r="M24">
        <v>1</v>
      </c>
    </row>
    <row r="25" spans="2:13" x14ac:dyDescent="0.15">
      <c r="B25" s="15">
        <v>1605</v>
      </c>
      <c r="C25" s="16" t="s">
        <v>30</v>
      </c>
      <c r="D25" s="16" t="s">
        <v>30</v>
      </c>
      <c r="E25">
        <v>1</v>
      </c>
      <c r="F25" t="s">
        <v>77</v>
      </c>
      <c r="G25">
        <v>1</v>
      </c>
      <c r="H25">
        <v>0</v>
      </c>
      <c r="I25">
        <v>0</v>
      </c>
      <c r="J25">
        <v>0</v>
      </c>
      <c r="K25">
        <v>0</v>
      </c>
      <c r="L25">
        <v>1</v>
      </c>
      <c r="M25">
        <v>1</v>
      </c>
    </row>
    <row r="26" spans="2:13" x14ac:dyDescent="0.15">
      <c r="B26" s="15">
        <v>1604</v>
      </c>
      <c r="C26" s="16" t="s">
        <v>31</v>
      </c>
      <c r="D26" s="16" t="s">
        <v>31</v>
      </c>
      <c r="E26">
        <v>1</v>
      </c>
      <c r="F26" t="s">
        <v>77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1</v>
      </c>
    </row>
    <row r="27" spans="2:13" x14ac:dyDescent="0.15">
      <c r="B27" s="15">
        <v>1606</v>
      </c>
      <c r="C27" s="16" t="s">
        <v>32</v>
      </c>
      <c r="D27" s="16" t="s">
        <v>32</v>
      </c>
      <c r="E27">
        <v>1</v>
      </c>
      <c r="F27" t="s">
        <v>77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1</v>
      </c>
    </row>
    <row r="28" spans="2:13" x14ac:dyDescent="0.15">
      <c r="B28" s="19">
        <v>1621</v>
      </c>
      <c r="C28" s="20" t="s">
        <v>33</v>
      </c>
      <c r="D28" s="20" t="s">
        <v>33</v>
      </c>
      <c r="E28">
        <v>1</v>
      </c>
      <c r="F28" t="s">
        <v>77</v>
      </c>
      <c r="G28">
        <v>1</v>
      </c>
      <c r="H28">
        <v>0</v>
      </c>
      <c r="I28">
        <v>0</v>
      </c>
      <c r="J28">
        <v>0</v>
      </c>
      <c r="K28">
        <v>0</v>
      </c>
      <c r="L28">
        <v>1</v>
      </c>
      <c r="M28">
        <v>1</v>
      </c>
    </row>
    <row r="29" spans="2:13" x14ac:dyDescent="0.15">
      <c r="B29" s="19">
        <v>1622</v>
      </c>
      <c r="C29" s="20" t="s">
        <v>34</v>
      </c>
      <c r="D29" s="20" t="s">
        <v>34</v>
      </c>
      <c r="E29">
        <v>1</v>
      </c>
      <c r="F29" t="s">
        <v>78</v>
      </c>
      <c r="G29">
        <v>1</v>
      </c>
      <c r="H29">
        <v>0</v>
      </c>
      <c r="I29">
        <v>0</v>
      </c>
      <c r="J29">
        <v>0</v>
      </c>
      <c r="K29">
        <v>0</v>
      </c>
      <c r="L29">
        <v>1</v>
      </c>
      <c r="M29">
        <v>1</v>
      </c>
    </row>
    <row r="30" spans="2:13" x14ac:dyDescent="0.15">
      <c r="B30" s="15">
        <v>1701</v>
      </c>
      <c r="C30" s="16" t="s">
        <v>35</v>
      </c>
      <c r="D30" s="16" t="s">
        <v>35</v>
      </c>
      <c r="E30">
        <v>1</v>
      </c>
      <c r="F30" t="s">
        <v>77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1</v>
      </c>
    </row>
    <row r="31" spans="2:13" x14ac:dyDescent="0.15">
      <c r="B31" s="19">
        <v>1702</v>
      </c>
      <c r="C31" s="20" t="s">
        <v>36</v>
      </c>
      <c r="D31" s="20" t="s">
        <v>36</v>
      </c>
      <c r="E31">
        <v>1</v>
      </c>
      <c r="F31" t="s">
        <v>78</v>
      </c>
      <c r="G31">
        <v>1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</row>
    <row r="32" spans="2:13" x14ac:dyDescent="0.15">
      <c r="B32" s="15">
        <v>1801</v>
      </c>
      <c r="C32" s="16" t="s">
        <v>37</v>
      </c>
      <c r="D32" s="16" t="s">
        <v>37</v>
      </c>
      <c r="E32">
        <v>1</v>
      </c>
      <c r="F32" t="s">
        <v>77</v>
      </c>
      <c r="G32">
        <v>1</v>
      </c>
      <c r="H32">
        <v>0</v>
      </c>
      <c r="I32">
        <v>0</v>
      </c>
      <c r="J32">
        <v>0</v>
      </c>
      <c r="K32">
        <v>0</v>
      </c>
      <c r="L32">
        <v>1</v>
      </c>
      <c r="M32">
        <v>1</v>
      </c>
    </row>
    <row r="33" spans="2:13" x14ac:dyDescent="0.15">
      <c r="B33" s="19">
        <v>1901</v>
      </c>
      <c r="C33" s="20" t="s">
        <v>38</v>
      </c>
      <c r="D33" s="20" t="s">
        <v>38</v>
      </c>
      <c r="E33">
        <v>1</v>
      </c>
      <c r="F33" t="s">
        <v>77</v>
      </c>
      <c r="G33">
        <v>1</v>
      </c>
      <c r="H33">
        <v>0</v>
      </c>
      <c r="I33">
        <v>0</v>
      </c>
      <c r="J33">
        <v>0</v>
      </c>
      <c r="K33">
        <v>0</v>
      </c>
      <c r="L33">
        <v>1</v>
      </c>
      <c r="M33">
        <v>1</v>
      </c>
    </row>
    <row r="34" spans="2:13" x14ac:dyDescent="0.15">
      <c r="B34" s="15">
        <v>2001</v>
      </c>
      <c r="C34" s="16" t="s">
        <v>39</v>
      </c>
      <c r="D34" s="16" t="s">
        <v>39</v>
      </c>
      <c r="E34">
        <v>2</v>
      </c>
      <c r="F34" t="s">
        <v>78</v>
      </c>
      <c r="G34">
        <v>1</v>
      </c>
      <c r="H34">
        <v>0</v>
      </c>
      <c r="I34">
        <v>0</v>
      </c>
      <c r="J34">
        <v>0</v>
      </c>
      <c r="K34">
        <v>0</v>
      </c>
      <c r="L34">
        <v>1</v>
      </c>
      <c r="M34">
        <v>1</v>
      </c>
    </row>
    <row r="35" spans="2:13" x14ac:dyDescent="0.15">
      <c r="B35" s="15">
        <v>2201</v>
      </c>
      <c r="C35" s="16" t="s">
        <v>40</v>
      </c>
      <c r="D35" s="16" t="s">
        <v>40</v>
      </c>
      <c r="E35">
        <v>2</v>
      </c>
      <c r="F35" t="s">
        <v>78</v>
      </c>
      <c r="G35">
        <v>1</v>
      </c>
      <c r="H35">
        <v>0</v>
      </c>
      <c r="I35">
        <v>0</v>
      </c>
      <c r="J35">
        <v>0</v>
      </c>
      <c r="K35">
        <v>0</v>
      </c>
      <c r="L35">
        <v>1</v>
      </c>
      <c r="M35">
        <v>1</v>
      </c>
    </row>
    <row r="36" spans="2:13" x14ac:dyDescent="0.15">
      <c r="B36" s="15">
        <v>2202</v>
      </c>
      <c r="C36" s="16" t="s">
        <v>41</v>
      </c>
      <c r="D36" s="16" t="s">
        <v>41</v>
      </c>
      <c r="E36">
        <v>2</v>
      </c>
      <c r="F36" t="s">
        <v>78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1</v>
      </c>
    </row>
    <row r="37" spans="2:13" x14ac:dyDescent="0.15">
      <c r="B37" s="15">
        <v>2203</v>
      </c>
      <c r="C37" s="16" t="s">
        <v>42</v>
      </c>
      <c r="D37" s="16" t="s">
        <v>42</v>
      </c>
      <c r="E37">
        <v>2</v>
      </c>
      <c r="F37" t="s">
        <v>78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</row>
    <row r="38" spans="2:13" x14ac:dyDescent="0.15">
      <c r="B38" s="15">
        <v>2211</v>
      </c>
      <c r="C38" s="16" t="s">
        <v>43</v>
      </c>
      <c r="D38" s="16" t="s">
        <v>43</v>
      </c>
      <c r="E38">
        <v>2</v>
      </c>
      <c r="F38" t="s">
        <v>78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</row>
    <row r="39" spans="2:13" x14ac:dyDescent="0.15">
      <c r="B39" s="15">
        <v>2231</v>
      </c>
      <c r="C39" s="16" t="s">
        <v>44</v>
      </c>
      <c r="D39" s="16" t="s">
        <v>44</v>
      </c>
      <c r="E39">
        <v>2</v>
      </c>
      <c r="F39" t="s">
        <v>78</v>
      </c>
      <c r="G39">
        <v>1</v>
      </c>
      <c r="H39">
        <v>0</v>
      </c>
      <c r="I39">
        <v>0</v>
      </c>
      <c r="J39">
        <v>0</v>
      </c>
      <c r="K39">
        <v>0</v>
      </c>
      <c r="L39">
        <v>1</v>
      </c>
      <c r="M39">
        <v>1</v>
      </c>
    </row>
    <row r="40" spans="2:13" x14ac:dyDescent="0.15">
      <c r="B40" s="15">
        <v>2221</v>
      </c>
      <c r="C40" s="16" t="s">
        <v>45</v>
      </c>
      <c r="D40" s="16" t="s">
        <v>45</v>
      </c>
      <c r="E40">
        <v>2</v>
      </c>
      <c r="F40" t="s">
        <v>78</v>
      </c>
      <c r="G40">
        <v>1</v>
      </c>
      <c r="H40">
        <v>0</v>
      </c>
      <c r="I40">
        <v>0</v>
      </c>
      <c r="J40">
        <v>0</v>
      </c>
      <c r="K40">
        <v>0</v>
      </c>
      <c r="L40">
        <v>1</v>
      </c>
      <c r="M40">
        <v>1</v>
      </c>
    </row>
    <row r="41" spans="2:13" x14ac:dyDescent="0.15">
      <c r="B41" s="15">
        <v>2241</v>
      </c>
      <c r="C41" s="16" t="s">
        <v>46</v>
      </c>
      <c r="D41" s="16" t="s">
        <v>46</v>
      </c>
      <c r="E41">
        <v>2</v>
      </c>
      <c r="F41" t="s">
        <v>78</v>
      </c>
      <c r="G41">
        <v>1</v>
      </c>
      <c r="H41">
        <v>0</v>
      </c>
      <c r="I41">
        <v>0</v>
      </c>
      <c r="J41">
        <v>0</v>
      </c>
      <c r="K41">
        <v>0</v>
      </c>
      <c r="L41">
        <v>1</v>
      </c>
      <c r="M41">
        <v>1</v>
      </c>
    </row>
    <row r="42" spans="2:13" x14ac:dyDescent="0.15">
      <c r="B42" s="15">
        <v>2501</v>
      </c>
      <c r="C42" s="16" t="s">
        <v>47</v>
      </c>
      <c r="D42" s="16" t="s">
        <v>47</v>
      </c>
      <c r="E42">
        <v>2</v>
      </c>
      <c r="F42" t="s">
        <v>78</v>
      </c>
      <c r="G42">
        <v>1</v>
      </c>
      <c r="H42">
        <v>0</v>
      </c>
      <c r="I42">
        <v>0</v>
      </c>
      <c r="J42">
        <v>0</v>
      </c>
      <c r="K42">
        <v>0</v>
      </c>
      <c r="L42">
        <v>1</v>
      </c>
      <c r="M42">
        <v>1</v>
      </c>
    </row>
    <row r="43" spans="2:13" x14ac:dyDescent="0.15">
      <c r="B43" s="15">
        <v>2701</v>
      </c>
      <c r="C43" s="16" t="s">
        <v>48</v>
      </c>
      <c r="D43" s="16" t="s">
        <v>48</v>
      </c>
      <c r="E43">
        <v>2</v>
      </c>
      <c r="F43" t="s">
        <v>78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1</v>
      </c>
    </row>
    <row r="44" spans="2:13" x14ac:dyDescent="0.15">
      <c r="B44" s="19">
        <v>2401</v>
      </c>
      <c r="C44" s="20" t="s">
        <v>49</v>
      </c>
      <c r="D44" s="20" t="s">
        <v>49</v>
      </c>
      <c r="E44">
        <v>2</v>
      </c>
      <c r="F44" t="s">
        <v>78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1</v>
      </c>
    </row>
    <row r="45" spans="2:13" x14ac:dyDescent="0.15">
      <c r="B45" s="15">
        <v>3001</v>
      </c>
      <c r="C45" s="16" t="s">
        <v>50</v>
      </c>
      <c r="D45" s="16" t="s">
        <v>50</v>
      </c>
      <c r="E45">
        <v>3</v>
      </c>
      <c r="F45" t="s">
        <v>78</v>
      </c>
      <c r="G45">
        <v>1</v>
      </c>
      <c r="H45">
        <v>0</v>
      </c>
      <c r="I45">
        <v>0</v>
      </c>
      <c r="J45">
        <v>0</v>
      </c>
      <c r="K45">
        <v>0</v>
      </c>
      <c r="L45">
        <v>1</v>
      </c>
      <c r="M45">
        <v>1</v>
      </c>
    </row>
    <row r="46" spans="2:13" x14ac:dyDescent="0.15">
      <c r="B46" s="15">
        <v>3002</v>
      </c>
      <c r="C46" s="16" t="s">
        <v>51</v>
      </c>
      <c r="D46" s="16" t="s">
        <v>51</v>
      </c>
      <c r="E46">
        <v>3</v>
      </c>
      <c r="F46" t="s">
        <v>78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1</v>
      </c>
    </row>
    <row r="47" spans="2:13" x14ac:dyDescent="0.15">
      <c r="B47" s="15">
        <v>3101</v>
      </c>
      <c r="C47" s="16" t="s">
        <v>52</v>
      </c>
      <c r="D47" s="16" t="s">
        <v>52</v>
      </c>
      <c r="E47">
        <v>3</v>
      </c>
      <c r="F47" t="s">
        <v>78</v>
      </c>
      <c r="G47">
        <v>1</v>
      </c>
      <c r="H47">
        <v>0</v>
      </c>
      <c r="I47">
        <v>0</v>
      </c>
      <c r="J47">
        <v>0</v>
      </c>
      <c r="K47">
        <v>0</v>
      </c>
      <c r="L47">
        <v>1</v>
      </c>
      <c r="M47">
        <v>1</v>
      </c>
    </row>
    <row r="48" spans="2:13" x14ac:dyDescent="0.15">
      <c r="B48" s="15">
        <v>3103</v>
      </c>
      <c r="C48" s="16" t="s">
        <v>53</v>
      </c>
      <c r="D48" s="16" t="s">
        <v>53</v>
      </c>
      <c r="E48">
        <v>3</v>
      </c>
      <c r="F48" t="s">
        <v>78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</row>
    <row r="49" spans="2:13" x14ac:dyDescent="0.15">
      <c r="B49" s="15">
        <v>3104</v>
      </c>
      <c r="C49" s="16" t="s">
        <v>54</v>
      </c>
      <c r="D49" s="16" t="s">
        <v>54</v>
      </c>
      <c r="E49">
        <v>3</v>
      </c>
      <c r="F49" t="s">
        <v>78</v>
      </c>
      <c r="G49">
        <v>1</v>
      </c>
      <c r="H49">
        <v>0</v>
      </c>
      <c r="I49">
        <v>0</v>
      </c>
      <c r="J49">
        <v>0</v>
      </c>
      <c r="K49">
        <v>0</v>
      </c>
      <c r="L49">
        <v>1</v>
      </c>
      <c r="M49">
        <v>1</v>
      </c>
    </row>
    <row r="50" spans="2:13" x14ac:dyDescent="0.15">
      <c r="B50" s="15">
        <v>4001</v>
      </c>
      <c r="C50" s="16" t="s">
        <v>55</v>
      </c>
      <c r="D50" s="16" t="s">
        <v>55</v>
      </c>
      <c r="E50">
        <v>4</v>
      </c>
      <c r="F50" t="s">
        <v>77</v>
      </c>
      <c r="G50">
        <v>1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</row>
    <row r="51" spans="2:13" x14ac:dyDescent="0.15">
      <c r="B51" s="15">
        <v>4101</v>
      </c>
      <c r="C51" s="16" t="s">
        <v>56</v>
      </c>
      <c r="D51" s="16" t="s">
        <v>56</v>
      </c>
      <c r="E51">
        <v>4</v>
      </c>
      <c r="F51" t="s">
        <v>77</v>
      </c>
      <c r="G51">
        <v>1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</row>
    <row r="52" spans="2:13" x14ac:dyDescent="0.15">
      <c r="B52" s="19">
        <v>4301</v>
      </c>
      <c r="C52" s="20" t="s">
        <v>57</v>
      </c>
      <c r="D52" s="20" t="s">
        <v>57</v>
      </c>
      <c r="E52">
        <v>4</v>
      </c>
      <c r="F52" t="s">
        <v>77</v>
      </c>
      <c r="G52">
        <v>1</v>
      </c>
      <c r="H52">
        <v>0</v>
      </c>
      <c r="I52">
        <v>0</v>
      </c>
      <c r="J52">
        <v>0</v>
      </c>
      <c r="K52">
        <v>0</v>
      </c>
      <c r="L52">
        <v>1</v>
      </c>
      <c r="M52">
        <v>1</v>
      </c>
    </row>
    <row r="53" spans="2:13" x14ac:dyDescent="0.15">
      <c r="B53" s="19">
        <v>4401</v>
      </c>
      <c r="C53" s="20" t="s">
        <v>58</v>
      </c>
      <c r="D53" s="20" t="s">
        <v>58</v>
      </c>
      <c r="E53">
        <v>4</v>
      </c>
      <c r="F53" t="s">
        <v>77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1</v>
      </c>
    </row>
    <row r="54" spans="2:13" x14ac:dyDescent="0.15">
      <c r="B54" s="19">
        <v>4403</v>
      </c>
      <c r="C54" s="20" t="s">
        <v>59</v>
      </c>
      <c r="D54" s="20" t="s">
        <v>59</v>
      </c>
      <c r="E54">
        <v>4</v>
      </c>
      <c r="F54" t="s">
        <v>77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1</v>
      </c>
    </row>
    <row r="55" spans="2:13" x14ac:dyDescent="0.15">
      <c r="B55" s="15">
        <v>5001</v>
      </c>
      <c r="C55" s="16" t="s">
        <v>60</v>
      </c>
      <c r="D55" s="16" t="s">
        <v>60</v>
      </c>
      <c r="E55">
        <v>5</v>
      </c>
      <c r="F55" t="s">
        <v>78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1</v>
      </c>
    </row>
    <row r="56" spans="2:13" x14ac:dyDescent="0.15">
      <c r="B56" s="15">
        <v>5051</v>
      </c>
      <c r="C56" s="16" t="s">
        <v>61</v>
      </c>
      <c r="D56" s="16" t="s">
        <v>61</v>
      </c>
      <c r="E56">
        <v>5</v>
      </c>
      <c r="F56" t="s">
        <v>78</v>
      </c>
      <c r="G56">
        <v>1</v>
      </c>
      <c r="H56">
        <v>0</v>
      </c>
      <c r="I56">
        <v>0</v>
      </c>
      <c r="J56">
        <v>0</v>
      </c>
      <c r="K56">
        <v>0</v>
      </c>
      <c r="L56">
        <v>1</v>
      </c>
      <c r="M56">
        <v>1</v>
      </c>
    </row>
    <row r="57" spans="2:13" x14ac:dyDescent="0.15">
      <c r="B57" s="15">
        <v>5111</v>
      </c>
      <c r="C57" s="16" t="s">
        <v>62</v>
      </c>
      <c r="D57" s="16" t="s">
        <v>62</v>
      </c>
      <c r="E57">
        <v>5</v>
      </c>
      <c r="F57" t="s">
        <v>78</v>
      </c>
      <c r="G57">
        <v>1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</row>
    <row r="58" spans="2:13" x14ac:dyDescent="0.15">
      <c r="B58" s="19">
        <v>5301</v>
      </c>
      <c r="C58" s="20" t="s">
        <v>63</v>
      </c>
      <c r="D58" s="20" t="s">
        <v>63</v>
      </c>
      <c r="E58">
        <v>5</v>
      </c>
      <c r="F58" t="s">
        <v>78</v>
      </c>
      <c r="G58">
        <v>1</v>
      </c>
      <c r="H58">
        <v>0</v>
      </c>
      <c r="I58">
        <v>0</v>
      </c>
      <c r="J58">
        <v>0</v>
      </c>
      <c r="K58">
        <v>0</v>
      </c>
      <c r="L58">
        <v>1</v>
      </c>
      <c r="M58">
        <v>1</v>
      </c>
    </row>
    <row r="59" spans="2:13" x14ac:dyDescent="0.15">
      <c r="B59" s="15">
        <v>5401</v>
      </c>
      <c r="C59" s="16" t="s">
        <v>64</v>
      </c>
      <c r="D59" s="16" t="s">
        <v>64</v>
      </c>
      <c r="E59">
        <v>5</v>
      </c>
      <c r="F59" t="s">
        <v>77</v>
      </c>
      <c r="G59">
        <v>1</v>
      </c>
      <c r="H59">
        <v>0</v>
      </c>
      <c r="I59">
        <v>0</v>
      </c>
      <c r="J59">
        <v>0</v>
      </c>
      <c r="K59">
        <v>0</v>
      </c>
      <c r="L59">
        <v>1</v>
      </c>
      <c r="M59">
        <v>1</v>
      </c>
    </row>
    <row r="60" spans="2:13" x14ac:dyDescent="0.15">
      <c r="B60" s="15">
        <v>5403</v>
      </c>
      <c r="C60" s="16" t="s">
        <v>65</v>
      </c>
      <c r="D60" s="16" t="s">
        <v>65</v>
      </c>
      <c r="E60">
        <v>5</v>
      </c>
      <c r="F60" t="s">
        <v>77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1</v>
      </c>
    </row>
    <row r="61" spans="2:13" x14ac:dyDescent="0.15">
      <c r="B61" s="15">
        <v>5402</v>
      </c>
      <c r="C61" s="16" t="s">
        <v>66</v>
      </c>
      <c r="D61" s="16" t="s">
        <v>66</v>
      </c>
      <c r="E61">
        <v>5</v>
      </c>
      <c r="F61" t="s">
        <v>77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</row>
    <row r="62" spans="2:13" x14ac:dyDescent="0.15">
      <c r="B62" s="15">
        <v>5601</v>
      </c>
      <c r="C62" s="16" t="s">
        <v>67</v>
      </c>
      <c r="D62" s="16" t="s">
        <v>67</v>
      </c>
      <c r="E62">
        <v>5</v>
      </c>
      <c r="F62" t="s">
        <v>77</v>
      </c>
      <c r="G62">
        <v>1</v>
      </c>
      <c r="H62">
        <v>0</v>
      </c>
      <c r="I62">
        <v>0</v>
      </c>
      <c r="J62">
        <v>0</v>
      </c>
      <c r="K62">
        <v>0</v>
      </c>
      <c r="L62">
        <v>1</v>
      </c>
      <c r="M62">
        <v>1</v>
      </c>
    </row>
    <row r="63" spans="2:13" x14ac:dyDescent="0.15">
      <c r="B63" s="15">
        <v>5602</v>
      </c>
      <c r="C63" s="16" t="s">
        <v>68</v>
      </c>
      <c r="D63" s="16" t="s">
        <v>68</v>
      </c>
      <c r="E63">
        <v>5</v>
      </c>
      <c r="F63" t="s">
        <v>77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1</v>
      </c>
    </row>
    <row r="64" spans="2:13" x14ac:dyDescent="0.15">
      <c r="B64" s="15">
        <v>5603</v>
      </c>
      <c r="C64" s="16" t="s">
        <v>69</v>
      </c>
      <c r="D64" s="16" t="s">
        <v>69</v>
      </c>
      <c r="E64">
        <v>5</v>
      </c>
      <c r="F64" t="s">
        <v>77</v>
      </c>
      <c r="G64">
        <v>1</v>
      </c>
      <c r="H64">
        <v>0</v>
      </c>
      <c r="I64">
        <v>0</v>
      </c>
      <c r="J64">
        <v>0</v>
      </c>
      <c r="K64">
        <v>0</v>
      </c>
      <c r="L64">
        <v>1</v>
      </c>
      <c r="M64">
        <v>1</v>
      </c>
    </row>
    <row r="65" spans="2:13" x14ac:dyDescent="0.15">
      <c r="B65" s="19">
        <v>5711</v>
      </c>
      <c r="C65" s="20" t="s">
        <v>70</v>
      </c>
      <c r="D65" s="20" t="s">
        <v>70</v>
      </c>
      <c r="E65">
        <v>5</v>
      </c>
      <c r="F65" t="s">
        <v>77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</row>
    <row r="66" spans="2:13" x14ac:dyDescent="0.15">
      <c r="B66" s="15">
        <v>5801</v>
      </c>
      <c r="C66" s="16" t="s">
        <v>71</v>
      </c>
      <c r="D66" s="16" t="s">
        <v>71</v>
      </c>
      <c r="E66">
        <v>5</v>
      </c>
      <c r="F66" t="s">
        <v>77</v>
      </c>
      <c r="G66">
        <v>1</v>
      </c>
      <c r="H66">
        <v>0</v>
      </c>
      <c r="I66">
        <v>0</v>
      </c>
      <c r="J66">
        <v>0</v>
      </c>
      <c r="K66">
        <v>0</v>
      </c>
      <c r="L66">
        <v>1</v>
      </c>
      <c r="M66">
        <v>1</v>
      </c>
    </row>
  </sheetData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F687"/>
  <sheetViews>
    <sheetView showGridLines="0" workbookViewId="0">
      <pane xSplit="9" ySplit="2" topLeftCell="J168" activePane="bottomRight" state="frozen"/>
      <selection pane="topRight" activeCell="I1" sqref="I1"/>
      <selection pane="bottomLeft" activeCell="A3" sqref="A3"/>
      <selection pane="bottomRight" activeCell="K8" sqref="K8"/>
    </sheetView>
  </sheetViews>
  <sheetFormatPr defaultRowHeight="12" x14ac:dyDescent="0.15"/>
  <cols>
    <col min="1" max="1" width="8.625" style="99" customWidth="1"/>
    <col min="2" max="2" width="9.125" style="100" customWidth="1"/>
    <col min="3" max="3" width="16.625" style="100" customWidth="1"/>
    <col min="4" max="4" width="23" style="100" customWidth="1"/>
    <col min="5" max="5" width="5.25" style="100" customWidth="1"/>
    <col min="6" max="6" width="5" style="100" customWidth="1"/>
    <col min="7" max="7" width="8.625" style="100" customWidth="1"/>
    <col min="8" max="8" width="5.75" style="101" customWidth="1"/>
    <col min="9" max="9" width="5.5" style="101" customWidth="1"/>
    <col min="10" max="13" width="8.625" style="102" customWidth="1"/>
    <col min="14" max="16384" width="9" style="99"/>
  </cols>
  <sheetData>
    <row r="1" spans="1:32" s="97" customFormat="1" ht="20.100000000000001" customHeight="1" x14ac:dyDescent="0.15">
      <c r="A1" s="144"/>
      <c r="B1" s="145"/>
      <c r="C1" s="145"/>
      <c r="D1" s="145"/>
      <c r="E1" s="145"/>
      <c r="F1" s="145"/>
      <c r="G1" s="145"/>
      <c r="H1" s="146"/>
      <c r="I1" s="146"/>
      <c r="J1" s="147" t="s">
        <v>824</v>
      </c>
      <c r="K1" s="147">
        <v>0</v>
      </c>
      <c r="L1" s="147">
        <v>0</v>
      </c>
      <c r="M1" s="147" t="s">
        <v>824</v>
      </c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</row>
    <row r="2" spans="1:32" s="103" customFormat="1" ht="30" customHeight="1" x14ac:dyDescent="0.15">
      <c r="A2" s="148"/>
      <c r="B2" s="151" t="s">
        <v>72</v>
      </c>
      <c r="C2" s="151" t="s">
        <v>73</v>
      </c>
      <c r="D2" s="151" t="s">
        <v>79</v>
      </c>
      <c r="E2" s="208" t="s">
        <v>707</v>
      </c>
      <c r="F2" s="207" t="s">
        <v>711</v>
      </c>
      <c r="G2" s="207" t="s">
        <v>708</v>
      </c>
      <c r="H2" s="207" t="s">
        <v>825</v>
      </c>
      <c r="I2" s="207" t="s">
        <v>88</v>
      </c>
      <c r="J2" s="209" t="s">
        <v>836</v>
      </c>
      <c r="K2" s="209" t="s">
        <v>709</v>
      </c>
      <c r="L2" s="209" t="s">
        <v>710</v>
      </c>
      <c r="M2" s="209" t="s">
        <v>835</v>
      </c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</row>
    <row r="3" spans="1:32" x14ac:dyDescent="0.15">
      <c r="A3" s="150"/>
      <c r="B3" s="194" t="s">
        <v>89</v>
      </c>
      <c r="C3" s="195" t="s">
        <v>10</v>
      </c>
      <c r="D3" s="195" t="s">
        <v>10</v>
      </c>
      <c r="E3" s="196" t="s">
        <v>192</v>
      </c>
      <c r="F3" s="196" t="s">
        <v>165</v>
      </c>
      <c r="G3" s="196" t="s">
        <v>666</v>
      </c>
      <c r="H3" s="197">
        <v>1</v>
      </c>
      <c r="I3" s="197">
        <v>1</v>
      </c>
      <c r="J3" s="210">
        <v>7000</v>
      </c>
      <c r="K3" s="210">
        <v>0</v>
      </c>
      <c r="L3" s="210">
        <v>0</v>
      </c>
      <c r="M3" s="210">
        <v>7000</v>
      </c>
      <c r="N3" s="152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</row>
    <row r="4" spans="1:32" x14ac:dyDescent="0.15">
      <c r="B4" s="194" t="s">
        <v>9</v>
      </c>
      <c r="C4" s="195" t="s">
        <v>7</v>
      </c>
      <c r="D4" s="195" t="s">
        <v>7</v>
      </c>
      <c r="E4" s="196" t="s">
        <v>712</v>
      </c>
      <c r="F4" s="196" t="s">
        <v>713</v>
      </c>
      <c r="G4" s="197" t="s">
        <v>666</v>
      </c>
      <c r="H4" s="197">
        <v>1</v>
      </c>
      <c r="I4" s="197">
        <v>1</v>
      </c>
      <c r="J4" s="210">
        <v>0</v>
      </c>
      <c r="K4" s="210">
        <v>0</v>
      </c>
      <c r="L4" s="210">
        <v>0</v>
      </c>
      <c r="M4" s="210">
        <v>0</v>
      </c>
    </row>
    <row r="5" spans="1:32" x14ac:dyDescent="0.15">
      <c r="B5" s="194" t="s">
        <v>90</v>
      </c>
      <c r="C5" s="195" t="s">
        <v>819</v>
      </c>
      <c r="D5" s="195" t="s">
        <v>11</v>
      </c>
      <c r="E5" s="196" t="s">
        <v>714</v>
      </c>
      <c r="F5" s="196" t="s">
        <v>165</v>
      </c>
      <c r="G5" s="204" t="s">
        <v>666</v>
      </c>
      <c r="H5" s="197">
        <v>0</v>
      </c>
      <c r="I5" s="197">
        <v>1</v>
      </c>
      <c r="J5" s="210">
        <v>0</v>
      </c>
      <c r="K5" s="210">
        <v>0</v>
      </c>
      <c r="L5" s="210">
        <v>0</v>
      </c>
      <c r="M5" s="210">
        <v>0</v>
      </c>
    </row>
    <row r="6" spans="1:32" x14ac:dyDescent="0.15">
      <c r="B6" s="201" t="s">
        <v>281</v>
      </c>
      <c r="C6" s="202" t="s">
        <v>820</v>
      </c>
      <c r="D6" s="202" t="s">
        <v>534</v>
      </c>
      <c r="E6" s="199" t="s">
        <v>714</v>
      </c>
      <c r="F6" s="199" t="s">
        <v>165</v>
      </c>
      <c r="G6" s="201" t="s">
        <v>90</v>
      </c>
      <c r="H6" s="200">
        <v>1</v>
      </c>
      <c r="I6" s="200">
        <v>2</v>
      </c>
      <c r="J6" s="211">
        <v>0</v>
      </c>
      <c r="K6" s="211"/>
      <c r="L6" s="211"/>
      <c r="M6" s="211"/>
    </row>
    <row r="7" spans="1:32" x14ac:dyDescent="0.15">
      <c r="B7" s="201" t="s">
        <v>282</v>
      </c>
      <c r="C7" s="202" t="s">
        <v>821</v>
      </c>
      <c r="D7" s="202" t="s">
        <v>823</v>
      </c>
      <c r="E7" s="199" t="s">
        <v>714</v>
      </c>
      <c r="F7" s="199" t="s">
        <v>165</v>
      </c>
      <c r="G7" s="201" t="s">
        <v>90</v>
      </c>
      <c r="H7" s="200">
        <v>1</v>
      </c>
      <c r="I7" s="200">
        <v>2</v>
      </c>
      <c r="J7" s="211">
        <v>0</v>
      </c>
      <c r="K7" s="211"/>
      <c r="L7" s="211"/>
      <c r="M7" s="211"/>
    </row>
    <row r="8" spans="1:32" x14ac:dyDescent="0.15">
      <c r="B8" s="201" t="s">
        <v>283</v>
      </c>
      <c r="C8" s="202" t="s">
        <v>822</v>
      </c>
      <c r="D8" s="205" t="s">
        <v>535</v>
      </c>
      <c r="E8" s="199" t="s">
        <v>714</v>
      </c>
      <c r="F8" s="199" t="s">
        <v>165</v>
      </c>
      <c r="G8" s="206" t="s">
        <v>90</v>
      </c>
      <c r="H8" s="200">
        <v>1</v>
      </c>
      <c r="I8" s="200">
        <v>2</v>
      </c>
      <c r="J8" s="211">
        <v>0</v>
      </c>
      <c r="K8" s="211"/>
      <c r="L8" s="211"/>
      <c r="M8" s="211"/>
    </row>
    <row r="9" spans="1:32" x14ac:dyDescent="0.15">
      <c r="B9" s="201" t="s">
        <v>284</v>
      </c>
      <c r="C9" s="202" t="s">
        <v>285</v>
      </c>
      <c r="D9" s="205" t="s">
        <v>536</v>
      </c>
      <c r="E9" s="199" t="s">
        <v>714</v>
      </c>
      <c r="F9" s="199" t="s">
        <v>165</v>
      </c>
      <c r="G9" s="206" t="s">
        <v>90</v>
      </c>
      <c r="H9" s="200">
        <v>1</v>
      </c>
      <c r="I9" s="200">
        <v>2</v>
      </c>
      <c r="J9" s="211">
        <v>0</v>
      </c>
      <c r="K9" s="211"/>
      <c r="L9" s="211"/>
      <c r="M9" s="211"/>
    </row>
    <row r="10" spans="1:32" x14ac:dyDescent="0.15">
      <c r="B10" s="201" t="s">
        <v>286</v>
      </c>
      <c r="C10" s="202" t="s">
        <v>287</v>
      </c>
      <c r="D10" s="205" t="s">
        <v>537</v>
      </c>
      <c r="E10" s="199" t="s">
        <v>714</v>
      </c>
      <c r="F10" s="199" t="s">
        <v>165</v>
      </c>
      <c r="G10" s="206" t="s">
        <v>90</v>
      </c>
      <c r="H10" s="200">
        <v>1</v>
      </c>
      <c r="I10" s="200">
        <v>2</v>
      </c>
      <c r="J10" s="211">
        <v>0</v>
      </c>
      <c r="K10" s="211"/>
      <c r="L10" s="211"/>
      <c r="M10" s="211"/>
    </row>
    <row r="11" spans="1:32" x14ac:dyDescent="0.15">
      <c r="B11" s="194" t="s">
        <v>91</v>
      </c>
      <c r="C11" s="195" t="s">
        <v>12</v>
      </c>
      <c r="D11" s="198" t="s">
        <v>12</v>
      </c>
      <c r="E11" s="196" t="s">
        <v>714</v>
      </c>
      <c r="F11" s="196" t="s">
        <v>165</v>
      </c>
      <c r="G11" s="196" t="s">
        <v>666</v>
      </c>
      <c r="H11" s="197">
        <v>0</v>
      </c>
      <c r="I11" s="197">
        <v>1</v>
      </c>
      <c r="J11" s="210">
        <v>0</v>
      </c>
      <c r="K11" s="210">
        <v>0</v>
      </c>
      <c r="L11" s="210">
        <v>0</v>
      </c>
      <c r="M11" s="210">
        <v>0</v>
      </c>
    </row>
    <row r="12" spans="1:32" x14ac:dyDescent="0.15">
      <c r="B12" s="201" t="s">
        <v>288</v>
      </c>
      <c r="C12" s="202" t="s">
        <v>289</v>
      </c>
      <c r="D12" s="205" t="s">
        <v>538</v>
      </c>
      <c r="E12" s="199" t="s">
        <v>714</v>
      </c>
      <c r="F12" s="199" t="s">
        <v>165</v>
      </c>
      <c r="G12" s="206" t="s">
        <v>91</v>
      </c>
      <c r="H12" s="200">
        <v>1</v>
      </c>
      <c r="I12" s="200">
        <v>2</v>
      </c>
      <c r="J12" s="211">
        <v>0</v>
      </c>
      <c r="K12" s="211"/>
      <c r="L12" s="211"/>
      <c r="M12" s="211"/>
    </row>
    <row r="13" spans="1:32" x14ac:dyDescent="0.15">
      <c r="B13" s="201" t="s">
        <v>290</v>
      </c>
      <c r="C13" s="202" t="s">
        <v>291</v>
      </c>
      <c r="D13" s="205" t="s">
        <v>539</v>
      </c>
      <c r="E13" s="199" t="s">
        <v>714</v>
      </c>
      <c r="F13" s="199" t="s">
        <v>165</v>
      </c>
      <c r="G13" s="206" t="s">
        <v>91</v>
      </c>
      <c r="H13" s="200">
        <v>1</v>
      </c>
      <c r="I13" s="200">
        <v>2</v>
      </c>
      <c r="J13" s="211">
        <v>0</v>
      </c>
      <c r="K13" s="211"/>
      <c r="L13" s="211"/>
      <c r="M13" s="211"/>
    </row>
    <row r="14" spans="1:32" x14ac:dyDescent="0.15">
      <c r="B14" s="201" t="s">
        <v>292</v>
      </c>
      <c r="C14" s="202" t="s">
        <v>293</v>
      </c>
      <c r="D14" s="205" t="s">
        <v>540</v>
      </c>
      <c r="E14" s="199" t="s">
        <v>714</v>
      </c>
      <c r="F14" s="199" t="s">
        <v>165</v>
      </c>
      <c r="G14" s="206" t="s">
        <v>91</v>
      </c>
      <c r="H14" s="200">
        <v>1</v>
      </c>
      <c r="I14" s="200">
        <v>2</v>
      </c>
      <c r="J14" s="211">
        <v>0</v>
      </c>
      <c r="K14" s="211"/>
      <c r="L14" s="211"/>
      <c r="M14" s="211"/>
    </row>
    <row r="15" spans="1:32" x14ac:dyDescent="0.15">
      <c r="B15" s="201" t="s">
        <v>843</v>
      </c>
      <c r="C15" s="202" t="s">
        <v>294</v>
      </c>
      <c r="D15" s="205" t="s">
        <v>541</v>
      </c>
      <c r="E15" s="199" t="s">
        <v>714</v>
      </c>
      <c r="F15" s="199" t="s">
        <v>165</v>
      </c>
      <c r="G15" s="206" t="s">
        <v>91</v>
      </c>
      <c r="H15" s="200">
        <v>1</v>
      </c>
      <c r="I15" s="200">
        <v>2</v>
      </c>
      <c r="J15" s="211">
        <v>0</v>
      </c>
      <c r="K15" s="211"/>
      <c r="L15" s="211"/>
      <c r="M15" s="211"/>
    </row>
    <row r="16" spans="1:32" x14ac:dyDescent="0.15">
      <c r="B16" s="201" t="s">
        <v>92</v>
      </c>
      <c r="C16" s="202" t="s">
        <v>13</v>
      </c>
      <c r="D16" s="205" t="s">
        <v>13</v>
      </c>
      <c r="E16" s="199" t="s">
        <v>714</v>
      </c>
      <c r="F16" s="199" t="s">
        <v>165</v>
      </c>
      <c r="G16" s="206" t="s">
        <v>666</v>
      </c>
      <c r="H16" s="200">
        <v>1</v>
      </c>
      <c r="I16" s="200">
        <v>1</v>
      </c>
      <c r="J16" s="211">
        <v>0</v>
      </c>
      <c r="K16" s="211"/>
      <c r="L16" s="211"/>
      <c r="M16" s="211"/>
    </row>
    <row r="17" spans="2:13" x14ac:dyDescent="0.15">
      <c r="B17" s="201" t="s">
        <v>184</v>
      </c>
      <c r="C17" s="202" t="s">
        <v>185</v>
      </c>
      <c r="D17" s="205" t="s">
        <v>185</v>
      </c>
      <c r="E17" s="199" t="s">
        <v>714</v>
      </c>
      <c r="F17" s="199" t="s">
        <v>165</v>
      </c>
      <c r="G17" s="206" t="s">
        <v>666</v>
      </c>
      <c r="H17" s="200">
        <v>1</v>
      </c>
      <c r="I17" s="200">
        <v>1</v>
      </c>
      <c r="J17" s="211">
        <v>0</v>
      </c>
      <c r="K17" s="211"/>
      <c r="L17" s="211"/>
      <c r="M17" s="211"/>
    </row>
    <row r="18" spans="2:13" x14ac:dyDescent="0.15">
      <c r="B18" s="201" t="s">
        <v>295</v>
      </c>
      <c r="C18" s="202" t="s">
        <v>15</v>
      </c>
      <c r="D18" s="205" t="s">
        <v>15</v>
      </c>
      <c r="E18" s="199" t="s">
        <v>714</v>
      </c>
      <c r="F18" s="199" t="s">
        <v>165</v>
      </c>
      <c r="G18" s="206" t="s">
        <v>666</v>
      </c>
      <c r="H18" s="200">
        <v>1</v>
      </c>
      <c r="I18" s="200">
        <v>1</v>
      </c>
      <c r="J18" s="211">
        <v>0</v>
      </c>
      <c r="K18" s="211"/>
      <c r="L18" s="211"/>
      <c r="M18" s="211"/>
    </row>
    <row r="19" spans="2:13" x14ac:dyDescent="0.15">
      <c r="B19" s="201" t="s">
        <v>296</v>
      </c>
      <c r="C19" s="202" t="s">
        <v>297</v>
      </c>
      <c r="D19" s="205" t="s">
        <v>297</v>
      </c>
      <c r="E19" s="199" t="s">
        <v>714</v>
      </c>
      <c r="F19" s="199" t="s">
        <v>165</v>
      </c>
      <c r="G19" s="206" t="s">
        <v>666</v>
      </c>
      <c r="H19" s="200">
        <v>1</v>
      </c>
      <c r="I19" s="200">
        <v>1</v>
      </c>
      <c r="J19" s="211">
        <v>0</v>
      </c>
      <c r="K19" s="211"/>
      <c r="L19" s="211"/>
      <c r="M19" s="211"/>
    </row>
    <row r="20" spans="2:13" x14ac:dyDescent="0.15">
      <c r="B20" s="201" t="s">
        <v>93</v>
      </c>
      <c r="C20" s="202" t="s">
        <v>74</v>
      </c>
      <c r="D20" s="205" t="s">
        <v>74</v>
      </c>
      <c r="E20" s="199" t="s">
        <v>714</v>
      </c>
      <c r="F20" s="199" t="s">
        <v>165</v>
      </c>
      <c r="G20" s="206" t="s">
        <v>666</v>
      </c>
      <c r="H20" s="200">
        <v>1</v>
      </c>
      <c r="I20" s="200">
        <v>1</v>
      </c>
      <c r="J20" s="211">
        <v>0</v>
      </c>
      <c r="K20" s="211"/>
      <c r="L20" s="211"/>
      <c r="M20" s="211"/>
    </row>
    <row r="21" spans="2:13" x14ac:dyDescent="0.15">
      <c r="B21" s="201" t="s">
        <v>94</v>
      </c>
      <c r="C21" s="202" t="s">
        <v>16</v>
      </c>
      <c r="D21" s="205" t="s">
        <v>16</v>
      </c>
      <c r="E21" s="199" t="s">
        <v>714</v>
      </c>
      <c r="F21" s="199" t="s">
        <v>165</v>
      </c>
      <c r="G21" s="206" t="s">
        <v>666</v>
      </c>
      <c r="H21" s="200">
        <v>1</v>
      </c>
      <c r="I21" s="200">
        <v>1</v>
      </c>
      <c r="J21" s="211">
        <v>0</v>
      </c>
      <c r="K21" s="211"/>
      <c r="L21" s="211"/>
      <c r="M21" s="211"/>
    </row>
    <row r="22" spans="2:13" x14ac:dyDescent="0.15">
      <c r="B22" s="201" t="s">
        <v>95</v>
      </c>
      <c r="C22" s="202" t="s">
        <v>18</v>
      </c>
      <c r="D22" s="205" t="s">
        <v>18</v>
      </c>
      <c r="E22" s="199" t="s">
        <v>714</v>
      </c>
      <c r="F22" s="199" t="s">
        <v>165</v>
      </c>
      <c r="G22" s="206" t="s">
        <v>666</v>
      </c>
      <c r="H22" s="200">
        <v>1</v>
      </c>
      <c r="I22" s="200">
        <v>1</v>
      </c>
      <c r="J22" s="211">
        <v>0</v>
      </c>
      <c r="K22" s="211"/>
      <c r="L22" s="211"/>
      <c r="M22" s="211"/>
    </row>
    <row r="23" spans="2:13" x14ac:dyDescent="0.15">
      <c r="B23" s="201" t="s">
        <v>96</v>
      </c>
      <c r="C23" s="202" t="s">
        <v>97</v>
      </c>
      <c r="D23" s="205" t="s">
        <v>97</v>
      </c>
      <c r="E23" s="199" t="s">
        <v>714</v>
      </c>
      <c r="F23" s="199" t="s">
        <v>165</v>
      </c>
      <c r="G23" s="206" t="s">
        <v>666</v>
      </c>
      <c r="H23" s="200">
        <v>1</v>
      </c>
      <c r="I23" s="200">
        <v>1</v>
      </c>
      <c r="J23" s="211">
        <v>0</v>
      </c>
      <c r="K23" s="211"/>
      <c r="L23" s="211"/>
      <c r="M23" s="211"/>
    </row>
    <row r="24" spans="2:13" x14ac:dyDescent="0.15">
      <c r="B24" s="201" t="s">
        <v>98</v>
      </c>
      <c r="C24" s="202" t="s">
        <v>99</v>
      </c>
      <c r="D24" s="205" t="s">
        <v>99</v>
      </c>
      <c r="E24" s="199" t="s">
        <v>715</v>
      </c>
      <c r="F24" s="199" t="s">
        <v>165</v>
      </c>
      <c r="G24" s="206" t="s">
        <v>666</v>
      </c>
      <c r="H24" s="200">
        <v>1</v>
      </c>
      <c r="I24" s="200">
        <v>1</v>
      </c>
      <c r="J24" s="211">
        <v>0</v>
      </c>
      <c r="K24" s="211"/>
      <c r="L24" s="211"/>
      <c r="M24" s="211"/>
    </row>
    <row r="25" spans="2:13" x14ac:dyDescent="0.15">
      <c r="B25" s="201" t="s">
        <v>100</v>
      </c>
      <c r="C25" s="202" t="s">
        <v>20</v>
      </c>
      <c r="D25" s="205" t="s">
        <v>20</v>
      </c>
      <c r="E25" s="199" t="s">
        <v>715</v>
      </c>
      <c r="F25" s="199" t="s">
        <v>165</v>
      </c>
      <c r="G25" s="206" t="s">
        <v>666</v>
      </c>
      <c r="H25" s="200">
        <v>1</v>
      </c>
      <c r="I25" s="200">
        <v>1</v>
      </c>
      <c r="J25" s="211">
        <v>0</v>
      </c>
      <c r="K25" s="211"/>
      <c r="L25" s="211"/>
      <c r="M25" s="211"/>
    </row>
    <row r="26" spans="2:13" x14ac:dyDescent="0.15">
      <c r="B26" s="201" t="s">
        <v>101</v>
      </c>
      <c r="C26" s="202" t="s">
        <v>22</v>
      </c>
      <c r="D26" s="205" t="s">
        <v>22</v>
      </c>
      <c r="E26" s="199" t="s">
        <v>715</v>
      </c>
      <c r="F26" s="199" t="s">
        <v>165</v>
      </c>
      <c r="G26" s="203" t="s">
        <v>666</v>
      </c>
      <c r="H26" s="200">
        <v>1</v>
      </c>
      <c r="I26" s="200">
        <v>1</v>
      </c>
      <c r="J26" s="211">
        <v>0</v>
      </c>
      <c r="K26" s="211"/>
      <c r="L26" s="211"/>
      <c r="M26" s="211"/>
    </row>
    <row r="27" spans="2:13" x14ac:dyDescent="0.15">
      <c r="B27" s="201" t="s">
        <v>102</v>
      </c>
      <c r="C27" s="202" t="s">
        <v>103</v>
      </c>
      <c r="D27" s="205" t="s">
        <v>103</v>
      </c>
      <c r="E27" s="199" t="s">
        <v>715</v>
      </c>
      <c r="F27" s="199" t="s">
        <v>166</v>
      </c>
      <c r="G27" s="206" t="s">
        <v>666</v>
      </c>
      <c r="H27" s="200">
        <v>1</v>
      </c>
      <c r="I27" s="200">
        <v>1</v>
      </c>
      <c r="J27" s="211">
        <v>0</v>
      </c>
      <c r="K27" s="211"/>
      <c r="L27" s="211"/>
      <c r="M27" s="211"/>
    </row>
    <row r="28" spans="2:13" x14ac:dyDescent="0.15">
      <c r="B28" s="201" t="s">
        <v>104</v>
      </c>
      <c r="C28" s="202" t="s">
        <v>24</v>
      </c>
      <c r="D28" s="205" t="s">
        <v>24</v>
      </c>
      <c r="E28" s="199" t="s">
        <v>715</v>
      </c>
      <c r="F28" s="199" t="s">
        <v>165</v>
      </c>
      <c r="G28" s="206" t="s">
        <v>666</v>
      </c>
      <c r="H28" s="200">
        <v>1</v>
      </c>
      <c r="I28" s="200">
        <v>1</v>
      </c>
      <c r="J28" s="211">
        <v>0</v>
      </c>
      <c r="K28" s="211"/>
      <c r="L28" s="211"/>
      <c r="M28" s="211"/>
    </row>
    <row r="29" spans="2:13" x14ac:dyDescent="0.15">
      <c r="B29" s="194" t="s">
        <v>105</v>
      </c>
      <c r="C29" s="195" t="s">
        <v>106</v>
      </c>
      <c r="D29" s="198" t="s">
        <v>106</v>
      </c>
      <c r="E29" s="196" t="s">
        <v>715</v>
      </c>
      <c r="F29" s="196" t="s">
        <v>165</v>
      </c>
      <c r="G29" s="196" t="s">
        <v>666</v>
      </c>
      <c r="H29" s="197">
        <v>1</v>
      </c>
      <c r="I29" s="197">
        <v>1</v>
      </c>
      <c r="J29" s="210">
        <v>0</v>
      </c>
      <c r="K29" s="210">
        <v>0</v>
      </c>
      <c r="L29" s="210">
        <v>0</v>
      </c>
      <c r="M29" s="210">
        <v>0</v>
      </c>
    </row>
    <row r="30" spans="2:13" x14ac:dyDescent="0.15">
      <c r="B30" s="201" t="s">
        <v>298</v>
      </c>
      <c r="C30" s="202" t="s">
        <v>299</v>
      </c>
      <c r="D30" s="205" t="s">
        <v>299</v>
      </c>
      <c r="E30" s="199" t="s">
        <v>716</v>
      </c>
      <c r="F30" s="199" t="s">
        <v>165</v>
      </c>
      <c r="G30" s="206" t="s">
        <v>666</v>
      </c>
      <c r="H30" s="200">
        <v>1</v>
      </c>
      <c r="I30" s="200">
        <v>1</v>
      </c>
      <c r="J30" s="211">
        <v>0</v>
      </c>
      <c r="K30" s="211"/>
      <c r="L30" s="211"/>
      <c r="M30" s="211"/>
    </row>
    <row r="31" spans="2:13" x14ac:dyDescent="0.15">
      <c r="B31" s="201" t="s">
        <v>300</v>
      </c>
      <c r="C31" s="202" t="s">
        <v>301</v>
      </c>
      <c r="D31" s="205" t="s">
        <v>301</v>
      </c>
      <c r="E31" s="199" t="s">
        <v>716</v>
      </c>
      <c r="F31" s="199" t="s">
        <v>165</v>
      </c>
      <c r="G31" s="206" t="s">
        <v>666</v>
      </c>
      <c r="H31" s="200">
        <v>1</v>
      </c>
      <c r="I31" s="200">
        <v>1</v>
      </c>
      <c r="J31" s="211">
        <v>0</v>
      </c>
      <c r="K31" s="211"/>
      <c r="L31" s="211"/>
      <c r="M31" s="211"/>
    </row>
    <row r="32" spans="2:13" x14ac:dyDescent="0.15">
      <c r="B32" s="201" t="s">
        <v>107</v>
      </c>
      <c r="C32" s="202" t="s">
        <v>108</v>
      </c>
      <c r="D32" s="205" t="s">
        <v>108</v>
      </c>
      <c r="E32" s="199" t="s">
        <v>716</v>
      </c>
      <c r="F32" s="199" t="s">
        <v>165</v>
      </c>
      <c r="G32" s="206" t="s">
        <v>666</v>
      </c>
      <c r="H32" s="200">
        <v>1</v>
      </c>
      <c r="I32" s="200">
        <v>1</v>
      </c>
      <c r="J32" s="211">
        <v>0</v>
      </c>
      <c r="K32" s="211"/>
      <c r="L32" s="211"/>
      <c r="M32" s="211"/>
    </row>
    <row r="33" spans="2:13" x14ac:dyDescent="0.15">
      <c r="B33" s="194" t="s">
        <v>109</v>
      </c>
      <c r="C33" s="195" t="s">
        <v>110</v>
      </c>
      <c r="D33" s="198" t="s">
        <v>110</v>
      </c>
      <c r="E33" s="196" t="s">
        <v>716</v>
      </c>
      <c r="F33" s="196" t="s">
        <v>165</v>
      </c>
      <c r="G33" s="196" t="s">
        <v>666</v>
      </c>
      <c r="H33" s="197">
        <v>0</v>
      </c>
      <c r="I33" s="197">
        <v>1</v>
      </c>
      <c r="J33" s="210">
        <v>0</v>
      </c>
      <c r="K33" s="210">
        <v>0</v>
      </c>
      <c r="L33" s="210">
        <v>0</v>
      </c>
      <c r="M33" s="210">
        <v>0</v>
      </c>
    </row>
    <row r="34" spans="2:13" x14ac:dyDescent="0.15">
      <c r="B34" s="201" t="s">
        <v>302</v>
      </c>
      <c r="C34" s="202" t="s">
        <v>303</v>
      </c>
      <c r="D34" s="205" t="s">
        <v>542</v>
      </c>
      <c r="E34" s="199" t="s">
        <v>716</v>
      </c>
      <c r="F34" s="199" t="s">
        <v>165</v>
      </c>
      <c r="G34" s="206" t="s">
        <v>109</v>
      </c>
      <c r="H34" s="200">
        <v>1</v>
      </c>
      <c r="I34" s="200">
        <v>2</v>
      </c>
      <c r="J34" s="211">
        <v>0</v>
      </c>
      <c r="K34" s="211"/>
      <c r="L34" s="211"/>
      <c r="M34" s="211"/>
    </row>
    <row r="35" spans="2:13" x14ac:dyDescent="0.15">
      <c r="B35" s="201" t="s">
        <v>304</v>
      </c>
      <c r="C35" s="202" t="s">
        <v>305</v>
      </c>
      <c r="D35" s="205" t="s">
        <v>543</v>
      </c>
      <c r="E35" s="199" t="s">
        <v>717</v>
      </c>
      <c r="F35" s="199" t="s">
        <v>165</v>
      </c>
      <c r="G35" s="206" t="s">
        <v>109</v>
      </c>
      <c r="H35" s="200">
        <v>1</v>
      </c>
      <c r="I35" s="200">
        <v>2</v>
      </c>
      <c r="J35" s="211">
        <v>0</v>
      </c>
      <c r="K35" s="211"/>
      <c r="L35" s="211"/>
      <c r="M35" s="211"/>
    </row>
    <row r="36" spans="2:13" x14ac:dyDescent="0.15">
      <c r="B36" s="201" t="s">
        <v>306</v>
      </c>
      <c r="C36" s="202" t="s">
        <v>307</v>
      </c>
      <c r="D36" s="205" t="s">
        <v>544</v>
      </c>
      <c r="E36" s="199" t="s">
        <v>717</v>
      </c>
      <c r="F36" s="199" t="s">
        <v>165</v>
      </c>
      <c r="G36" s="206" t="s">
        <v>109</v>
      </c>
      <c r="H36" s="200">
        <v>1</v>
      </c>
      <c r="I36" s="200">
        <v>2</v>
      </c>
      <c r="J36" s="211">
        <v>0</v>
      </c>
      <c r="K36" s="211"/>
      <c r="L36" s="211"/>
      <c r="M36" s="211"/>
    </row>
    <row r="37" spans="2:13" x14ac:dyDescent="0.15">
      <c r="B37" s="201" t="s">
        <v>111</v>
      </c>
      <c r="C37" s="202" t="s">
        <v>112</v>
      </c>
      <c r="D37" s="205" t="s">
        <v>112</v>
      </c>
      <c r="E37" s="199" t="s">
        <v>717</v>
      </c>
      <c r="F37" s="199" t="s">
        <v>165</v>
      </c>
      <c r="G37" s="206" t="s">
        <v>666</v>
      </c>
      <c r="H37" s="200">
        <v>1</v>
      </c>
      <c r="I37" s="200">
        <v>1</v>
      </c>
      <c r="J37" s="211">
        <v>0</v>
      </c>
      <c r="K37" s="211"/>
      <c r="L37" s="211"/>
      <c r="M37" s="211"/>
    </row>
    <row r="38" spans="2:13" x14ac:dyDescent="0.15">
      <c r="B38" s="201" t="s">
        <v>113</v>
      </c>
      <c r="C38" s="202" t="s">
        <v>28</v>
      </c>
      <c r="D38" s="205" t="s">
        <v>28</v>
      </c>
      <c r="E38" s="199" t="s">
        <v>717</v>
      </c>
      <c r="F38" s="199" t="s">
        <v>165</v>
      </c>
      <c r="G38" s="206" t="s">
        <v>666</v>
      </c>
      <c r="H38" s="200">
        <v>1</v>
      </c>
      <c r="I38" s="200">
        <v>1</v>
      </c>
      <c r="J38" s="211">
        <v>0</v>
      </c>
      <c r="K38" s="211"/>
      <c r="L38" s="211"/>
      <c r="M38" s="211"/>
    </row>
    <row r="39" spans="2:13" x14ac:dyDescent="0.15">
      <c r="B39" s="201" t="s">
        <v>114</v>
      </c>
      <c r="C39" s="202" t="s">
        <v>29</v>
      </c>
      <c r="D39" s="205" t="s">
        <v>29</v>
      </c>
      <c r="E39" s="199" t="s">
        <v>717</v>
      </c>
      <c r="F39" s="199" t="s">
        <v>166</v>
      </c>
      <c r="G39" s="206" t="s">
        <v>666</v>
      </c>
      <c r="H39" s="200">
        <v>1</v>
      </c>
      <c r="I39" s="200">
        <v>1</v>
      </c>
      <c r="J39" s="211">
        <v>0</v>
      </c>
      <c r="K39" s="211"/>
      <c r="L39" s="211"/>
      <c r="M39" s="211"/>
    </row>
    <row r="40" spans="2:13" x14ac:dyDescent="0.15">
      <c r="B40" s="201" t="s">
        <v>115</v>
      </c>
      <c r="C40" s="202" t="s">
        <v>31</v>
      </c>
      <c r="D40" s="205" t="s">
        <v>31</v>
      </c>
      <c r="E40" s="199" t="s">
        <v>717</v>
      </c>
      <c r="F40" s="199" t="s">
        <v>165</v>
      </c>
      <c r="G40" s="206" t="s">
        <v>666</v>
      </c>
      <c r="H40" s="200">
        <v>1</v>
      </c>
      <c r="I40" s="200">
        <v>1</v>
      </c>
      <c r="J40" s="211">
        <v>0</v>
      </c>
      <c r="K40" s="211"/>
      <c r="L40" s="211"/>
      <c r="M40" s="211"/>
    </row>
    <row r="41" spans="2:13" x14ac:dyDescent="0.15">
      <c r="B41" s="194" t="s">
        <v>116</v>
      </c>
      <c r="C41" s="195" t="s">
        <v>30</v>
      </c>
      <c r="D41" s="198" t="s">
        <v>30</v>
      </c>
      <c r="E41" s="196" t="s">
        <v>717</v>
      </c>
      <c r="F41" s="196" t="s">
        <v>165</v>
      </c>
      <c r="G41" s="196" t="s">
        <v>666</v>
      </c>
      <c r="H41" s="197">
        <v>0</v>
      </c>
      <c r="I41" s="197">
        <v>1</v>
      </c>
      <c r="J41" s="210">
        <v>0</v>
      </c>
      <c r="K41" s="210">
        <v>0</v>
      </c>
      <c r="L41" s="210">
        <v>0</v>
      </c>
      <c r="M41" s="210">
        <v>0</v>
      </c>
    </row>
    <row r="42" spans="2:13" x14ac:dyDescent="0.15">
      <c r="B42" s="201" t="s">
        <v>308</v>
      </c>
      <c r="C42" s="202" t="s">
        <v>309</v>
      </c>
      <c r="D42" s="205" t="s">
        <v>545</v>
      </c>
      <c r="E42" s="199" t="s">
        <v>717</v>
      </c>
      <c r="F42" s="199" t="s">
        <v>165</v>
      </c>
      <c r="G42" s="206" t="s">
        <v>116</v>
      </c>
      <c r="H42" s="200">
        <v>1</v>
      </c>
      <c r="I42" s="200">
        <v>2</v>
      </c>
      <c r="J42" s="211">
        <v>0</v>
      </c>
      <c r="K42" s="211"/>
      <c r="L42" s="211"/>
      <c r="M42" s="211"/>
    </row>
    <row r="43" spans="2:13" x14ac:dyDescent="0.15">
      <c r="B43" s="201" t="s">
        <v>310</v>
      </c>
      <c r="C43" s="202" t="s">
        <v>311</v>
      </c>
      <c r="D43" s="205" t="s">
        <v>546</v>
      </c>
      <c r="E43" s="199" t="s">
        <v>717</v>
      </c>
      <c r="F43" s="199" t="s">
        <v>165</v>
      </c>
      <c r="G43" s="206" t="s">
        <v>116</v>
      </c>
      <c r="H43" s="200">
        <v>1</v>
      </c>
      <c r="I43" s="200">
        <v>2</v>
      </c>
      <c r="J43" s="211">
        <v>0</v>
      </c>
      <c r="K43" s="211"/>
      <c r="L43" s="211"/>
      <c r="M43" s="211"/>
    </row>
    <row r="44" spans="2:13" x14ac:dyDescent="0.15">
      <c r="B44" s="201" t="s">
        <v>312</v>
      </c>
      <c r="C44" s="202" t="s">
        <v>313</v>
      </c>
      <c r="D44" s="205" t="s">
        <v>547</v>
      </c>
      <c r="E44" s="199" t="s">
        <v>718</v>
      </c>
      <c r="F44" s="199" t="s">
        <v>165</v>
      </c>
      <c r="G44" s="206" t="s">
        <v>116</v>
      </c>
      <c r="H44" s="200">
        <v>1</v>
      </c>
      <c r="I44" s="200">
        <v>2</v>
      </c>
      <c r="J44" s="211">
        <v>0</v>
      </c>
      <c r="K44" s="211"/>
      <c r="L44" s="211"/>
      <c r="M44" s="211"/>
    </row>
    <row r="45" spans="2:13" x14ac:dyDescent="0.15">
      <c r="B45" s="201" t="s">
        <v>117</v>
      </c>
      <c r="C45" s="202" t="s">
        <v>32</v>
      </c>
      <c r="D45" s="205" t="s">
        <v>32</v>
      </c>
      <c r="E45" s="199" t="s">
        <v>718</v>
      </c>
      <c r="F45" s="199" t="s">
        <v>165</v>
      </c>
      <c r="G45" s="206" t="s">
        <v>666</v>
      </c>
      <c r="H45" s="200">
        <v>1</v>
      </c>
      <c r="I45" s="200">
        <v>1</v>
      </c>
      <c r="J45" s="211">
        <v>0</v>
      </c>
      <c r="K45" s="211"/>
      <c r="L45" s="211"/>
      <c r="M45" s="211"/>
    </row>
    <row r="46" spans="2:13" x14ac:dyDescent="0.15">
      <c r="B46" s="194" t="s">
        <v>118</v>
      </c>
      <c r="C46" s="195" t="s">
        <v>119</v>
      </c>
      <c r="D46" s="198" t="s">
        <v>119</v>
      </c>
      <c r="E46" s="196" t="s">
        <v>718</v>
      </c>
      <c r="F46" s="196" t="s">
        <v>165</v>
      </c>
      <c r="G46" s="196" t="s">
        <v>666</v>
      </c>
      <c r="H46" s="197">
        <v>0</v>
      </c>
      <c r="I46" s="197">
        <v>1</v>
      </c>
      <c r="J46" s="210">
        <v>0</v>
      </c>
      <c r="K46" s="210">
        <v>0</v>
      </c>
      <c r="L46" s="210">
        <v>0</v>
      </c>
      <c r="M46" s="210">
        <v>0</v>
      </c>
    </row>
    <row r="47" spans="2:13" x14ac:dyDescent="0.15">
      <c r="B47" s="201" t="s">
        <v>314</v>
      </c>
      <c r="C47" s="202" t="s">
        <v>315</v>
      </c>
      <c r="D47" s="205" t="s">
        <v>548</v>
      </c>
      <c r="E47" s="199" t="s">
        <v>718</v>
      </c>
      <c r="F47" s="199" t="s">
        <v>165</v>
      </c>
      <c r="G47" s="206" t="s">
        <v>118</v>
      </c>
      <c r="H47" s="200">
        <v>1</v>
      </c>
      <c r="I47" s="200">
        <v>2</v>
      </c>
      <c r="J47" s="211">
        <v>0</v>
      </c>
      <c r="K47" s="211"/>
      <c r="L47" s="211"/>
      <c r="M47" s="211"/>
    </row>
    <row r="48" spans="2:13" x14ac:dyDescent="0.15">
      <c r="B48" s="201" t="s">
        <v>316</v>
      </c>
      <c r="C48" s="202" t="s">
        <v>317</v>
      </c>
      <c r="D48" s="205" t="s">
        <v>549</v>
      </c>
      <c r="E48" s="199" t="s">
        <v>718</v>
      </c>
      <c r="F48" s="199" t="s">
        <v>165</v>
      </c>
      <c r="G48" s="206" t="s">
        <v>118</v>
      </c>
      <c r="H48" s="200">
        <v>1</v>
      </c>
      <c r="I48" s="200">
        <v>2</v>
      </c>
      <c r="J48" s="211">
        <v>0</v>
      </c>
      <c r="K48" s="211"/>
      <c r="L48" s="211"/>
      <c r="M48" s="211"/>
    </row>
    <row r="49" spans="2:13" x14ac:dyDescent="0.15">
      <c r="B49" s="201" t="s">
        <v>120</v>
      </c>
      <c r="C49" s="202" t="s">
        <v>121</v>
      </c>
      <c r="D49" s="205" t="s">
        <v>121</v>
      </c>
      <c r="E49" s="199" t="s">
        <v>718</v>
      </c>
      <c r="F49" s="199" t="s">
        <v>166</v>
      </c>
      <c r="G49" s="206" t="s">
        <v>666</v>
      </c>
      <c r="H49" s="200">
        <v>1</v>
      </c>
      <c r="I49" s="200">
        <v>1</v>
      </c>
      <c r="J49" s="211">
        <v>0</v>
      </c>
      <c r="K49" s="211"/>
      <c r="L49" s="211"/>
      <c r="M49" s="211"/>
    </row>
    <row r="50" spans="2:13" x14ac:dyDescent="0.15">
      <c r="B50" s="201" t="s">
        <v>122</v>
      </c>
      <c r="C50" s="202" t="s">
        <v>35</v>
      </c>
      <c r="D50" s="205" t="s">
        <v>35</v>
      </c>
      <c r="E50" s="199" t="s">
        <v>718</v>
      </c>
      <c r="F50" s="199" t="s">
        <v>165</v>
      </c>
      <c r="G50" s="206" t="s">
        <v>666</v>
      </c>
      <c r="H50" s="200">
        <v>1</v>
      </c>
      <c r="I50" s="200">
        <v>1</v>
      </c>
      <c r="J50" s="211">
        <v>0</v>
      </c>
      <c r="K50" s="211"/>
      <c r="L50" s="211"/>
      <c r="M50" s="211"/>
    </row>
    <row r="51" spans="2:13" x14ac:dyDescent="0.15">
      <c r="B51" s="201" t="s">
        <v>123</v>
      </c>
      <c r="C51" s="202" t="s">
        <v>124</v>
      </c>
      <c r="D51" s="205" t="s">
        <v>124</v>
      </c>
      <c r="E51" s="199" t="s">
        <v>718</v>
      </c>
      <c r="F51" s="199" t="s">
        <v>166</v>
      </c>
      <c r="G51" s="206" t="s">
        <v>666</v>
      </c>
      <c r="H51" s="200">
        <v>1</v>
      </c>
      <c r="I51" s="200">
        <v>1</v>
      </c>
      <c r="J51" s="211">
        <v>0</v>
      </c>
      <c r="K51" s="211"/>
      <c r="L51" s="211"/>
      <c r="M51" s="211"/>
    </row>
    <row r="52" spans="2:13" x14ac:dyDescent="0.15">
      <c r="B52" s="201" t="s">
        <v>125</v>
      </c>
      <c r="C52" s="202" t="s">
        <v>126</v>
      </c>
      <c r="D52" s="205" t="s">
        <v>126</v>
      </c>
      <c r="E52" s="199" t="s">
        <v>718</v>
      </c>
      <c r="F52" s="199" t="s">
        <v>165</v>
      </c>
      <c r="G52" s="206" t="s">
        <v>666</v>
      </c>
      <c r="H52" s="200">
        <v>1</v>
      </c>
      <c r="I52" s="200">
        <v>1</v>
      </c>
      <c r="J52" s="211">
        <v>0</v>
      </c>
      <c r="K52" s="211"/>
      <c r="L52" s="211"/>
      <c r="M52" s="211"/>
    </row>
    <row r="53" spans="2:13" x14ac:dyDescent="0.15">
      <c r="B53" s="194" t="s">
        <v>127</v>
      </c>
      <c r="C53" s="195" t="s">
        <v>128</v>
      </c>
      <c r="D53" s="198" t="s">
        <v>128</v>
      </c>
      <c r="E53" s="196" t="s">
        <v>718</v>
      </c>
      <c r="F53" s="196" t="s">
        <v>165</v>
      </c>
      <c r="G53" s="196" t="s">
        <v>666</v>
      </c>
      <c r="H53" s="197">
        <v>0</v>
      </c>
      <c r="I53" s="197">
        <v>1</v>
      </c>
      <c r="J53" s="210">
        <v>0</v>
      </c>
      <c r="K53" s="210">
        <v>0</v>
      </c>
      <c r="L53" s="210">
        <v>0</v>
      </c>
      <c r="M53" s="210">
        <v>0</v>
      </c>
    </row>
    <row r="54" spans="2:13" x14ac:dyDescent="0.15">
      <c r="B54" s="201" t="s">
        <v>318</v>
      </c>
      <c r="C54" s="202" t="s">
        <v>319</v>
      </c>
      <c r="D54" s="205" t="s">
        <v>550</v>
      </c>
      <c r="E54" s="199" t="s">
        <v>718</v>
      </c>
      <c r="F54" s="199" t="s">
        <v>165</v>
      </c>
      <c r="G54" s="206" t="s">
        <v>127</v>
      </c>
      <c r="H54" s="200">
        <v>1</v>
      </c>
      <c r="I54" s="200">
        <v>2</v>
      </c>
      <c r="J54" s="211">
        <v>0</v>
      </c>
      <c r="K54" s="211"/>
      <c r="L54" s="211"/>
      <c r="M54" s="211"/>
    </row>
    <row r="55" spans="2:13" x14ac:dyDescent="0.15">
      <c r="B55" s="201" t="s">
        <v>320</v>
      </c>
      <c r="C55" s="202" t="s">
        <v>321</v>
      </c>
      <c r="D55" s="205" t="s">
        <v>551</v>
      </c>
      <c r="E55" s="199" t="s">
        <v>718</v>
      </c>
      <c r="F55" s="199" t="s">
        <v>165</v>
      </c>
      <c r="G55" s="206" t="s">
        <v>127</v>
      </c>
      <c r="H55" s="200">
        <v>1</v>
      </c>
      <c r="I55" s="200">
        <v>2</v>
      </c>
      <c r="J55" s="211">
        <v>0</v>
      </c>
      <c r="K55" s="211"/>
      <c r="L55" s="211"/>
      <c r="M55" s="211"/>
    </row>
    <row r="56" spans="2:13" x14ac:dyDescent="0.15">
      <c r="B56" s="201" t="s">
        <v>129</v>
      </c>
      <c r="C56" s="202" t="s">
        <v>39</v>
      </c>
      <c r="D56" s="205" t="s">
        <v>39</v>
      </c>
      <c r="E56" s="199" t="s">
        <v>719</v>
      </c>
      <c r="F56" s="199" t="s">
        <v>166</v>
      </c>
      <c r="G56" s="206" t="s">
        <v>666</v>
      </c>
      <c r="H56" s="200">
        <v>1</v>
      </c>
      <c r="I56" s="200">
        <v>1</v>
      </c>
      <c r="J56" s="211">
        <v>0</v>
      </c>
      <c r="K56" s="211"/>
      <c r="L56" s="211"/>
      <c r="M56" s="211"/>
    </row>
    <row r="57" spans="2:13" x14ac:dyDescent="0.15">
      <c r="B57" s="201" t="s">
        <v>130</v>
      </c>
      <c r="C57" s="202" t="s">
        <v>40</v>
      </c>
      <c r="D57" s="205" t="s">
        <v>40</v>
      </c>
      <c r="E57" s="199" t="s">
        <v>719</v>
      </c>
      <c r="F57" s="199" t="s">
        <v>166</v>
      </c>
      <c r="G57" s="206" t="s">
        <v>666</v>
      </c>
      <c r="H57" s="200">
        <v>1</v>
      </c>
      <c r="I57" s="200">
        <v>1</v>
      </c>
      <c r="J57" s="211">
        <v>0</v>
      </c>
      <c r="K57" s="211"/>
      <c r="L57" s="211"/>
      <c r="M57" s="211"/>
    </row>
    <row r="58" spans="2:13" x14ac:dyDescent="0.15">
      <c r="B58" s="201" t="s">
        <v>131</v>
      </c>
      <c r="C58" s="202" t="s">
        <v>41</v>
      </c>
      <c r="D58" s="205" t="s">
        <v>41</v>
      </c>
      <c r="E58" s="199" t="s">
        <v>719</v>
      </c>
      <c r="F58" s="199" t="s">
        <v>166</v>
      </c>
      <c r="G58" s="206" t="s">
        <v>666</v>
      </c>
      <c r="H58" s="200">
        <v>1</v>
      </c>
      <c r="I58" s="200">
        <v>1</v>
      </c>
      <c r="J58" s="211">
        <v>0</v>
      </c>
      <c r="K58" s="211"/>
      <c r="L58" s="211"/>
      <c r="M58" s="211"/>
    </row>
    <row r="59" spans="2:13" x14ac:dyDescent="0.15">
      <c r="B59" s="201" t="s">
        <v>132</v>
      </c>
      <c r="C59" s="202" t="s">
        <v>42</v>
      </c>
      <c r="D59" s="205" t="s">
        <v>42</v>
      </c>
      <c r="E59" s="199" t="s">
        <v>719</v>
      </c>
      <c r="F59" s="199" t="s">
        <v>166</v>
      </c>
      <c r="G59" s="206" t="s">
        <v>666</v>
      </c>
      <c r="H59" s="200">
        <v>1</v>
      </c>
      <c r="I59" s="200">
        <v>1</v>
      </c>
      <c r="J59" s="211">
        <v>0</v>
      </c>
      <c r="K59" s="211"/>
      <c r="L59" s="211"/>
      <c r="M59" s="211"/>
    </row>
    <row r="60" spans="2:13" x14ac:dyDescent="0.15">
      <c r="B60" s="194" t="s">
        <v>133</v>
      </c>
      <c r="C60" s="195" t="s">
        <v>43</v>
      </c>
      <c r="D60" s="198" t="s">
        <v>43</v>
      </c>
      <c r="E60" s="196" t="s">
        <v>719</v>
      </c>
      <c r="F60" s="196" t="s">
        <v>166</v>
      </c>
      <c r="G60" s="196" t="s">
        <v>666</v>
      </c>
      <c r="H60" s="197">
        <v>0</v>
      </c>
      <c r="I60" s="197">
        <v>1</v>
      </c>
      <c r="J60" s="210">
        <v>0</v>
      </c>
      <c r="K60" s="210">
        <v>0</v>
      </c>
      <c r="L60" s="210">
        <v>0</v>
      </c>
      <c r="M60" s="210">
        <v>0</v>
      </c>
    </row>
    <row r="61" spans="2:13" x14ac:dyDescent="0.15">
      <c r="B61" s="201" t="s">
        <v>322</v>
      </c>
      <c r="C61" s="202" t="s">
        <v>323</v>
      </c>
      <c r="D61" s="205" t="s">
        <v>552</v>
      </c>
      <c r="E61" s="199" t="s">
        <v>719</v>
      </c>
      <c r="F61" s="199" t="s">
        <v>166</v>
      </c>
      <c r="G61" s="206" t="s">
        <v>133</v>
      </c>
      <c r="H61" s="200">
        <v>1</v>
      </c>
      <c r="I61" s="200">
        <v>2</v>
      </c>
      <c r="J61" s="211">
        <v>0</v>
      </c>
      <c r="K61" s="211"/>
      <c r="L61" s="211"/>
      <c r="M61" s="211"/>
    </row>
    <row r="62" spans="2:13" x14ac:dyDescent="0.15">
      <c r="B62" s="201" t="s">
        <v>324</v>
      </c>
      <c r="C62" s="202" t="s">
        <v>325</v>
      </c>
      <c r="D62" s="205" t="s">
        <v>553</v>
      </c>
      <c r="E62" s="199" t="s">
        <v>719</v>
      </c>
      <c r="F62" s="199" t="s">
        <v>166</v>
      </c>
      <c r="G62" s="206" t="s">
        <v>133</v>
      </c>
      <c r="H62" s="200">
        <v>1</v>
      </c>
      <c r="I62" s="200">
        <v>2</v>
      </c>
      <c r="J62" s="211">
        <v>0</v>
      </c>
      <c r="K62" s="211"/>
      <c r="L62" s="211"/>
      <c r="M62" s="211"/>
    </row>
    <row r="63" spans="2:13" x14ac:dyDescent="0.15">
      <c r="B63" s="201" t="s">
        <v>326</v>
      </c>
      <c r="C63" s="202" t="s">
        <v>327</v>
      </c>
      <c r="D63" s="205" t="s">
        <v>554</v>
      </c>
      <c r="E63" s="199" t="s">
        <v>719</v>
      </c>
      <c r="F63" s="199" t="s">
        <v>166</v>
      </c>
      <c r="G63" s="206" t="s">
        <v>133</v>
      </c>
      <c r="H63" s="200">
        <v>1</v>
      </c>
      <c r="I63" s="200">
        <v>2</v>
      </c>
      <c r="J63" s="211">
        <v>0</v>
      </c>
      <c r="K63" s="211"/>
      <c r="L63" s="211"/>
      <c r="M63" s="211"/>
    </row>
    <row r="64" spans="2:13" x14ac:dyDescent="0.15">
      <c r="B64" s="201" t="s">
        <v>328</v>
      </c>
      <c r="C64" s="202" t="s">
        <v>329</v>
      </c>
      <c r="D64" s="205" t="s">
        <v>555</v>
      </c>
      <c r="E64" s="199" t="s">
        <v>719</v>
      </c>
      <c r="F64" s="199" t="s">
        <v>166</v>
      </c>
      <c r="G64" s="206" t="s">
        <v>133</v>
      </c>
      <c r="H64" s="200">
        <v>1</v>
      </c>
      <c r="I64" s="200">
        <v>2</v>
      </c>
      <c r="J64" s="211">
        <v>0</v>
      </c>
      <c r="K64" s="211"/>
      <c r="L64" s="211"/>
      <c r="M64" s="211"/>
    </row>
    <row r="65" spans="2:13" x14ac:dyDescent="0.15">
      <c r="B65" s="201" t="s">
        <v>330</v>
      </c>
      <c r="C65" s="202" t="s">
        <v>331</v>
      </c>
      <c r="D65" s="205" t="s">
        <v>556</v>
      </c>
      <c r="E65" s="199" t="s">
        <v>719</v>
      </c>
      <c r="F65" s="199" t="s">
        <v>166</v>
      </c>
      <c r="G65" s="206" t="s">
        <v>133</v>
      </c>
      <c r="H65" s="200">
        <v>1</v>
      </c>
      <c r="I65" s="200">
        <v>2</v>
      </c>
      <c r="J65" s="211">
        <v>0</v>
      </c>
      <c r="K65" s="211"/>
      <c r="L65" s="211"/>
      <c r="M65" s="211"/>
    </row>
    <row r="66" spans="2:13" x14ac:dyDescent="0.15">
      <c r="B66" s="201" t="s">
        <v>332</v>
      </c>
      <c r="C66" s="202" t="s">
        <v>333</v>
      </c>
      <c r="D66" s="205" t="s">
        <v>557</v>
      </c>
      <c r="E66" s="199" t="s">
        <v>719</v>
      </c>
      <c r="F66" s="199" t="s">
        <v>166</v>
      </c>
      <c r="G66" s="206" t="s">
        <v>133</v>
      </c>
      <c r="H66" s="200">
        <v>1</v>
      </c>
      <c r="I66" s="200">
        <v>2</v>
      </c>
      <c r="J66" s="211">
        <v>0</v>
      </c>
      <c r="K66" s="211"/>
      <c r="L66" s="211"/>
      <c r="M66" s="211"/>
    </row>
    <row r="67" spans="2:13" x14ac:dyDescent="0.15">
      <c r="B67" s="206" t="s">
        <v>334</v>
      </c>
      <c r="C67" s="206" t="s">
        <v>335</v>
      </c>
      <c r="D67" s="206" t="s">
        <v>558</v>
      </c>
      <c r="E67" s="199" t="s">
        <v>719</v>
      </c>
      <c r="F67" s="199" t="s">
        <v>166</v>
      </c>
      <c r="G67" s="206" t="s">
        <v>133</v>
      </c>
      <c r="H67" s="200">
        <v>1</v>
      </c>
      <c r="I67" s="200">
        <v>2</v>
      </c>
      <c r="J67" s="211">
        <v>0</v>
      </c>
      <c r="K67" s="211"/>
      <c r="L67" s="211"/>
      <c r="M67" s="211"/>
    </row>
    <row r="68" spans="2:13" x14ac:dyDescent="0.15">
      <c r="B68" s="206" t="s">
        <v>336</v>
      </c>
      <c r="C68" s="206" t="s">
        <v>337</v>
      </c>
      <c r="D68" s="206" t="s">
        <v>559</v>
      </c>
      <c r="E68" s="199" t="s">
        <v>719</v>
      </c>
      <c r="F68" s="199" t="s">
        <v>166</v>
      </c>
      <c r="G68" s="206" t="s">
        <v>133</v>
      </c>
      <c r="H68" s="200">
        <v>1</v>
      </c>
      <c r="I68" s="200">
        <v>2</v>
      </c>
      <c r="J68" s="211">
        <v>0</v>
      </c>
      <c r="K68" s="211"/>
      <c r="L68" s="211"/>
      <c r="M68" s="211"/>
    </row>
    <row r="69" spans="2:13" x14ac:dyDescent="0.15">
      <c r="B69" s="206" t="s">
        <v>338</v>
      </c>
      <c r="C69" s="206" t="s">
        <v>339</v>
      </c>
      <c r="D69" s="206" t="s">
        <v>560</v>
      </c>
      <c r="E69" s="199" t="s">
        <v>719</v>
      </c>
      <c r="F69" s="199" t="s">
        <v>166</v>
      </c>
      <c r="G69" s="206" t="s">
        <v>133</v>
      </c>
      <c r="H69" s="200">
        <v>1</v>
      </c>
      <c r="I69" s="200">
        <v>2</v>
      </c>
      <c r="J69" s="211">
        <v>0</v>
      </c>
      <c r="K69" s="211"/>
      <c r="L69" s="211"/>
      <c r="M69" s="211"/>
    </row>
    <row r="70" spans="2:13" x14ac:dyDescent="0.15">
      <c r="B70" s="206" t="s">
        <v>340</v>
      </c>
      <c r="C70" s="206" t="s">
        <v>294</v>
      </c>
      <c r="D70" s="206" t="s">
        <v>561</v>
      </c>
      <c r="E70" s="199" t="s">
        <v>719</v>
      </c>
      <c r="F70" s="199" t="s">
        <v>166</v>
      </c>
      <c r="G70" s="206" t="s">
        <v>133</v>
      </c>
      <c r="H70" s="200">
        <v>1</v>
      </c>
      <c r="I70" s="200">
        <v>2</v>
      </c>
      <c r="J70" s="211">
        <v>0</v>
      </c>
      <c r="K70" s="211"/>
      <c r="L70" s="211"/>
      <c r="M70" s="211"/>
    </row>
    <row r="71" spans="2:13" x14ac:dyDescent="0.15">
      <c r="B71" s="196" t="s">
        <v>134</v>
      </c>
      <c r="C71" s="196" t="s">
        <v>45</v>
      </c>
      <c r="D71" s="196" t="s">
        <v>45</v>
      </c>
      <c r="E71" s="196" t="s">
        <v>719</v>
      </c>
      <c r="F71" s="196" t="s">
        <v>166</v>
      </c>
      <c r="G71" s="196" t="s">
        <v>666</v>
      </c>
      <c r="H71" s="197">
        <v>0</v>
      </c>
      <c r="I71" s="197">
        <v>1</v>
      </c>
      <c r="J71" s="210">
        <v>0</v>
      </c>
      <c r="K71" s="210">
        <v>0</v>
      </c>
      <c r="L71" s="210">
        <v>0</v>
      </c>
      <c r="M71" s="210">
        <v>0</v>
      </c>
    </row>
    <row r="72" spans="2:13" x14ac:dyDescent="0.15">
      <c r="B72" s="196" t="s">
        <v>341</v>
      </c>
      <c r="C72" s="196" t="s">
        <v>342</v>
      </c>
      <c r="D72" s="196" t="s">
        <v>562</v>
      </c>
      <c r="E72" s="196" t="s">
        <v>720</v>
      </c>
      <c r="F72" s="196" t="s">
        <v>166</v>
      </c>
      <c r="G72" s="196" t="s">
        <v>134</v>
      </c>
      <c r="H72" s="197">
        <v>0</v>
      </c>
      <c r="I72" s="197">
        <v>2</v>
      </c>
      <c r="J72" s="210">
        <v>0</v>
      </c>
      <c r="K72" s="210">
        <v>0</v>
      </c>
      <c r="L72" s="210">
        <v>0</v>
      </c>
      <c r="M72" s="210">
        <v>0</v>
      </c>
    </row>
    <row r="73" spans="2:13" x14ac:dyDescent="0.15">
      <c r="B73" s="206" t="s">
        <v>343</v>
      </c>
      <c r="C73" s="206" t="s">
        <v>344</v>
      </c>
      <c r="D73" s="206" t="s">
        <v>563</v>
      </c>
      <c r="E73" s="199" t="s">
        <v>720</v>
      </c>
      <c r="F73" s="199" t="s">
        <v>165</v>
      </c>
      <c r="G73" s="206" t="s">
        <v>341</v>
      </c>
      <c r="H73" s="200">
        <v>1</v>
      </c>
      <c r="I73" s="200">
        <v>3</v>
      </c>
      <c r="J73" s="211">
        <v>0</v>
      </c>
      <c r="K73" s="211"/>
      <c r="L73" s="211"/>
      <c r="M73" s="211"/>
    </row>
    <row r="74" spans="2:13" x14ac:dyDescent="0.15">
      <c r="B74" s="206" t="s">
        <v>345</v>
      </c>
      <c r="C74" s="206" t="s">
        <v>346</v>
      </c>
      <c r="D74" s="206" t="s">
        <v>564</v>
      </c>
      <c r="E74" s="199" t="s">
        <v>720</v>
      </c>
      <c r="F74" s="199" t="s">
        <v>166</v>
      </c>
      <c r="G74" s="206" t="s">
        <v>341</v>
      </c>
      <c r="H74" s="200">
        <v>1</v>
      </c>
      <c r="I74" s="200">
        <v>3</v>
      </c>
      <c r="J74" s="211">
        <v>0</v>
      </c>
      <c r="K74" s="211"/>
      <c r="L74" s="211"/>
      <c r="M74" s="211"/>
    </row>
    <row r="75" spans="2:13" x14ac:dyDescent="0.15">
      <c r="B75" s="206" t="s">
        <v>347</v>
      </c>
      <c r="C75" s="206" t="s">
        <v>348</v>
      </c>
      <c r="D75" s="206" t="s">
        <v>565</v>
      </c>
      <c r="E75" s="199" t="s">
        <v>720</v>
      </c>
      <c r="F75" s="199" t="s">
        <v>165</v>
      </c>
      <c r="G75" s="206" t="s">
        <v>341</v>
      </c>
      <c r="H75" s="200">
        <v>1</v>
      </c>
      <c r="I75" s="200">
        <v>3</v>
      </c>
      <c r="J75" s="211">
        <v>0</v>
      </c>
      <c r="K75" s="211"/>
      <c r="L75" s="211"/>
      <c r="M75" s="211"/>
    </row>
    <row r="76" spans="2:13" x14ac:dyDescent="0.15">
      <c r="B76" s="206" t="s">
        <v>349</v>
      </c>
      <c r="C76" s="206" t="s">
        <v>350</v>
      </c>
      <c r="D76" s="206" t="s">
        <v>566</v>
      </c>
      <c r="E76" s="199" t="s">
        <v>720</v>
      </c>
      <c r="F76" s="199" t="s">
        <v>166</v>
      </c>
      <c r="G76" s="206" t="s">
        <v>341</v>
      </c>
      <c r="H76" s="200">
        <v>1</v>
      </c>
      <c r="I76" s="200">
        <v>3</v>
      </c>
      <c r="J76" s="211">
        <v>0</v>
      </c>
      <c r="K76" s="211"/>
      <c r="L76" s="211"/>
      <c r="M76" s="211"/>
    </row>
    <row r="77" spans="2:13" x14ac:dyDescent="0.15">
      <c r="B77" s="206" t="s">
        <v>351</v>
      </c>
      <c r="C77" s="206" t="s">
        <v>352</v>
      </c>
      <c r="D77" s="206" t="s">
        <v>567</v>
      </c>
      <c r="E77" s="199" t="s">
        <v>720</v>
      </c>
      <c r="F77" s="199" t="s">
        <v>166</v>
      </c>
      <c r="G77" s="206" t="s">
        <v>341</v>
      </c>
      <c r="H77" s="200">
        <v>1</v>
      </c>
      <c r="I77" s="200">
        <v>3</v>
      </c>
      <c r="J77" s="211">
        <v>0</v>
      </c>
      <c r="K77" s="211"/>
      <c r="L77" s="211"/>
      <c r="M77" s="211"/>
    </row>
    <row r="78" spans="2:13" x14ac:dyDescent="0.15">
      <c r="B78" s="206" t="s">
        <v>353</v>
      </c>
      <c r="C78" s="206" t="s">
        <v>354</v>
      </c>
      <c r="D78" s="206" t="s">
        <v>568</v>
      </c>
      <c r="E78" s="199" t="s">
        <v>720</v>
      </c>
      <c r="F78" s="199" t="s">
        <v>165</v>
      </c>
      <c r="G78" s="206" t="s">
        <v>341</v>
      </c>
      <c r="H78" s="200">
        <v>1</v>
      </c>
      <c r="I78" s="200">
        <v>3</v>
      </c>
      <c r="J78" s="211">
        <v>0</v>
      </c>
      <c r="K78" s="211"/>
      <c r="L78" s="211"/>
      <c r="M78" s="211"/>
    </row>
    <row r="79" spans="2:13" x14ac:dyDescent="0.15">
      <c r="B79" s="206" t="s">
        <v>355</v>
      </c>
      <c r="C79" s="206" t="s">
        <v>356</v>
      </c>
      <c r="D79" s="206" t="s">
        <v>569</v>
      </c>
      <c r="E79" s="199" t="s">
        <v>720</v>
      </c>
      <c r="F79" s="199" t="s">
        <v>166</v>
      </c>
      <c r="G79" s="206" t="s">
        <v>134</v>
      </c>
      <c r="H79" s="200">
        <v>1</v>
      </c>
      <c r="I79" s="200">
        <v>2</v>
      </c>
      <c r="J79" s="211">
        <v>0</v>
      </c>
      <c r="K79" s="211"/>
      <c r="L79" s="211"/>
      <c r="M79" s="211"/>
    </row>
    <row r="80" spans="2:13" x14ac:dyDescent="0.15">
      <c r="B80" s="206" t="s">
        <v>844</v>
      </c>
      <c r="C80" s="206" t="s">
        <v>358</v>
      </c>
      <c r="D80" s="206" t="s">
        <v>570</v>
      </c>
      <c r="E80" s="199" t="s">
        <v>720</v>
      </c>
      <c r="F80" s="199" t="s">
        <v>166</v>
      </c>
      <c r="G80" s="206" t="s">
        <v>134</v>
      </c>
      <c r="H80" s="200">
        <v>1</v>
      </c>
      <c r="I80" s="200">
        <v>2</v>
      </c>
      <c r="J80" s="211">
        <v>0</v>
      </c>
      <c r="K80" s="211"/>
      <c r="L80" s="211"/>
      <c r="M80" s="211"/>
    </row>
    <row r="81" spans="2:13" x14ac:dyDescent="0.15">
      <c r="B81" s="206" t="s">
        <v>357</v>
      </c>
      <c r="C81" s="206" t="s">
        <v>360</v>
      </c>
      <c r="D81" s="206" t="s">
        <v>571</v>
      </c>
      <c r="E81" s="199" t="s">
        <v>720</v>
      </c>
      <c r="F81" s="199" t="s">
        <v>166</v>
      </c>
      <c r="G81" s="206" t="s">
        <v>134</v>
      </c>
      <c r="H81" s="200">
        <v>1</v>
      </c>
      <c r="I81" s="200">
        <v>2</v>
      </c>
      <c r="J81" s="211">
        <v>0</v>
      </c>
      <c r="K81" s="211"/>
      <c r="L81" s="211"/>
      <c r="M81" s="211"/>
    </row>
    <row r="82" spans="2:13" x14ac:dyDescent="0.15">
      <c r="B82" s="206" t="s">
        <v>359</v>
      </c>
      <c r="C82" s="206" t="s">
        <v>362</v>
      </c>
      <c r="D82" s="206" t="s">
        <v>572</v>
      </c>
      <c r="E82" s="199" t="s">
        <v>720</v>
      </c>
      <c r="F82" s="199" t="s">
        <v>166</v>
      </c>
      <c r="G82" s="206" t="s">
        <v>134</v>
      </c>
      <c r="H82" s="200">
        <v>1</v>
      </c>
      <c r="I82" s="200">
        <v>2</v>
      </c>
      <c r="J82" s="211">
        <v>0</v>
      </c>
      <c r="K82" s="211"/>
      <c r="L82" s="211"/>
      <c r="M82" s="211"/>
    </row>
    <row r="83" spans="2:13" x14ac:dyDescent="0.15">
      <c r="B83" s="206" t="s">
        <v>361</v>
      </c>
      <c r="C83" s="206" t="s">
        <v>364</v>
      </c>
      <c r="D83" s="206" t="s">
        <v>573</v>
      </c>
      <c r="E83" s="199" t="s">
        <v>720</v>
      </c>
      <c r="F83" s="199" t="s">
        <v>166</v>
      </c>
      <c r="G83" s="206" t="s">
        <v>134</v>
      </c>
      <c r="H83" s="200">
        <v>1</v>
      </c>
      <c r="I83" s="200">
        <v>2</v>
      </c>
      <c r="J83" s="211">
        <v>0</v>
      </c>
      <c r="K83" s="211"/>
      <c r="L83" s="211"/>
      <c r="M83" s="211"/>
    </row>
    <row r="84" spans="2:13" x14ac:dyDescent="0.15">
      <c r="B84" s="206" t="s">
        <v>363</v>
      </c>
      <c r="C84" s="206" t="s">
        <v>366</v>
      </c>
      <c r="D84" s="206" t="s">
        <v>574</v>
      </c>
      <c r="E84" s="199" t="s">
        <v>720</v>
      </c>
      <c r="F84" s="199" t="s">
        <v>166</v>
      </c>
      <c r="G84" s="206" t="s">
        <v>134</v>
      </c>
      <c r="H84" s="200">
        <v>1</v>
      </c>
      <c r="I84" s="200">
        <v>2</v>
      </c>
      <c r="J84" s="211">
        <v>0</v>
      </c>
      <c r="K84" s="211"/>
      <c r="L84" s="211"/>
      <c r="M84" s="211"/>
    </row>
    <row r="85" spans="2:13" x14ac:dyDescent="0.15">
      <c r="B85" s="206" t="s">
        <v>365</v>
      </c>
      <c r="C85" s="206" t="s">
        <v>368</v>
      </c>
      <c r="D85" s="206" t="s">
        <v>575</v>
      </c>
      <c r="E85" s="199" t="s">
        <v>720</v>
      </c>
      <c r="F85" s="199" t="s">
        <v>166</v>
      </c>
      <c r="G85" s="206" t="s">
        <v>134</v>
      </c>
      <c r="H85" s="200">
        <v>1</v>
      </c>
      <c r="I85" s="200">
        <v>2</v>
      </c>
      <c r="J85" s="211">
        <v>0</v>
      </c>
      <c r="K85" s="211"/>
      <c r="L85" s="211"/>
      <c r="M85" s="211"/>
    </row>
    <row r="86" spans="2:13" x14ac:dyDescent="0.15">
      <c r="B86" s="206" t="s">
        <v>367</v>
      </c>
      <c r="C86" s="206" t="s">
        <v>370</v>
      </c>
      <c r="D86" s="206" t="s">
        <v>576</v>
      </c>
      <c r="E86" s="199" t="s">
        <v>720</v>
      </c>
      <c r="F86" s="199" t="s">
        <v>166</v>
      </c>
      <c r="G86" s="206" t="s">
        <v>134</v>
      </c>
      <c r="H86" s="200">
        <v>1</v>
      </c>
      <c r="I86" s="200">
        <v>2</v>
      </c>
      <c r="J86" s="211">
        <v>0</v>
      </c>
      <c r="K86" s="211"/>
      <c r="L86" s="211"/>
      <c r="M86" s="211"/>
    </row>
    <row r="87" spans="2:13" x14ac:dyDescent="0.15">
      <c r="B87" s="206" t="s">
        <v>369</v>
      </c>
      <c r="C87" s="206" t="s">
        <v>372</v>
      </c>
      <c r="D87" s="206" t="s">
        <v>577</v>
      </c>
      <c r="E87" s="199" t="s">
        <v>720</v>
      </c>
      <c r="F87" s="199" t="s">
        <v>166</v>
      </c>
      <c r="G87" s="206" t="s">
        <v>134</v>
      </c>
      <c r="H87" s="200">
        <v>1</v>
      </c>
      <c r="I87" s="200">
        <v>2</v>
      </c>
      <c r="J87" s="211">
        <v>0</v>
      </c>
      <c r="K87" s="211"/>
      <c r="L87" s="211"/>
      <c r="M87" s="211"/>
    </row>
    <row r="88" spans="2:13" x14ac:dyDescent="0.15">
      <c r="B88" s="206" t="s">
        <v>371</v>
      </c>
      <c r="C88" s="206" t="s">
        <v>374</v>
      </c>
      <c r="D88" s="206" t="s">
        <v>578</v>
      </c>
      <c r="E88" s="199" t="s">
        <v>720</v>
      </c>
      <c r="F88" s="199" t="s">
        <v>166</v>
      </c>
      <c r="G88" s="206" t="s">
        <v>134</v>
      </c>
      <c r="H88" s="200">
        <v>1</v>
      </c>
      <c r="I88" s="200">
        <v>2</v>
      </c>
      <c r="J88" s="211">
        <v>0</v>
      </c>
      <c r="K88" s="211"/>
      <c r="L88" s="211"/>
      <c r="M88" s="211"/>
    </row>
    <row r="89" spans="2:13" x14ac:dyDescent="0.15">
      <c r="B89" s="206" t="s">
        <v>373</v>
      </c>
      <c r="C89" s="206" t="s">
        <v>376</v>
      </c>
      <c r="D89" s="206" t="s">
        <v>579</v>
      </c>
      <c r="E89" s="199" t="s">
        <v>721</v>
      </c>
      <c r="F89" s="199" t="s">
        <v>166</v>
      </c>
      <c r="G89" s="206" t="s">
        <v>134</v>
      </c>
      <c r="H89" s="200">
        <v>1</v>
      </c>
      <c r="I89" s="200">
        <v>2</v>
      </c>
      <c r="J89" s="211">
        <v>0</v>
      </c>
      <c r="K89" s="211"/>
      <c r="L89" s="211"/>
      <c r="M89" s="211"/>
    </row>
    <row r="90" spans="2:13" x14ac:dyDescent="0.15">
      <c r="B90" s="206" t="s">
        <v>375</v>
      </c>
      <c r="C90" s="206" t="s">
        <v>377</v>
      </c>
      <c r="D90" s="206" t="s">
        <v>580</v>
      </c>
      <c r="E90" s="199" t="s">
        <v>721</v>
      </c>
      <c r="F90" s="199" t="s">
        <v>166</v>
      </c>
      <c r="G90" s="206" t="s">
        <v>134</v>
      </c>
      <c r="H90" s="200">
        <v>1</v>
      </c>
      <c r="I90" s="200">
        <v>2</v>
      </c>
      <c r="J90" s="211">
        <v>0</v>
      </c>
      <c r="K90" s="211"/>
      <c r="L90" s="211"/>
      <c r="M90" s="211"/>
    </row>
    <row r="91" spans="2:13" x14ac:dyDescent="0.15">
      <c r="B91" s="206" t="s">
        <v>135</v>
      </c>
      <c r="C91" s="206" t="s">
        <v>44</v>
      </c>
      <c r="D91" s="206" t="s">
        <v>44</v>
      </c>
      <c r="E91" s="199" t="s">
        <v>721</v>
      </c>
      <c r="F91" s="199" t="s">
        <v>166</v>
      </c>
      <c r="G91" s="206" t="s">
        <v>666</v>
      </c>
      <c r="H91" s="200">
        <v>1</v>
      </c>
      <c r="I91" s="200">
        <v>1</v>
      </c>
      <c r="J91" s="211">
        <v>0</v>
      </c>
      <c r="K91" s="211"/>
      <c r="L91" s="211"/>
      <c r="M91" s="211"/>
    </row>
    <row r="92" spans="2:13" x14ac:dyDescent="0.15">
      <c r="B92" s="206" t="s">
        <v>378</v>
      </c>
      <c r="C92" s="206" t="s">
        <v>379</v>
      </c>
      <c r="D92" s="206" t="s">
        <v>379</v>
      </c>
      <c r="E92" s="199" t="s">
        <v>721</v>
      </c>
      <c r="F92" s="199" t="s">
        <v>166</v>
      </c>
      <c r="G92" s="206" t="s">
        <v>666</v>
      </c>
      <c r="H92" s="200">
        <v>1</v>
      </c>
      <c r="I92" s="200">
        <v>1</v>
      </c>
      <c r="J92" s="211">
        <v>0</v>
      </c>
      <c r="K92" s="211"/>
      <c r="L92" s="211"/>
      <c r="M92" s="211"/>
    </row>
    <row r="93" spans="2:13" x14ac:dyDescent="0.15">
      <c r="B93" s="206" t="s">
        <v>136</v>
      </c>
      <c r="C93" s="206" t="s">
        <v>46</v>
      </c>
      <c r="D93" s="206" t="s">
        <v>46</v>
      </c>
      <c r="E93" s="199" t="s">
        <v>721</v>
      </c>
      <c r="F93" s="199" t="s">
        <v>166</v>
      </c>
      <c r="G93" s="206" t="s">
        <v>666</v>
      </c>
      <c r="H93" s="200">
        <v>1</v>
      </c>
      <c r="I93" s="200">
        <v>1</v>
      </c>
      <c r="J93" s="211">
        <v>0</v>
      </c>
      <c r="K93" s="211"/>
      <c r="L93" s="211"/>
      <c r="M93" s="211"/>
    </row>
    <row r="94" spans="2:13" x14ac:dyDescent="0.15">
      <c r="B94" s="206" t="s">
        <v>137</v>
      </c>
      <c r="C94" s="206" t="s">
        <v>49</v>
      </c>
      <c r="D94" s="206" t="s">
        <v>49</v>
      </c>
      <c r="E94" s="199" t="s">
        <v>721</v>
      </c>
      <c r="F94" s="199" t="s">
        <v>166</v>
      </c>
      <c r="G94" s="206" t="s">
        <v>666</v>
      </c>
      <c r="H94" s="200">
        <v>1</v>
      </c>
      <c r="I94" s="200">
        <v>1</v>
      </c>
      <c r="J94" s="211">
        <v>0</v>
      </c>
      <c r="K94" s="211"/>
      <c r="L94" s="211"/>
      <c r="M94" s="211"/>
    </row>
    <row r="95" spans="2:13" x14ac:dyDescent="0.15">
      <c r="B95" s="206" t="s">
        <v>138</v>
      </c>
      <c r="C95" s="206" t="s">
        <v>47</v>
      </c>
      <c r="D95" s="206" t="s">
        <v>47</v>
      </c>
      <c r="E95" s="199" t="s">
        <v>721</v>
      </c>
      <c r="F95" s="199" t="s">
        <v>166</v>
      </c>
      <c r="G95" s="206" t="s">
        <v>666</v>
      </c>
      <c r="H95" s="200">
        <v>1</v>
      </c>
      <c r="I95" s="200">
        <v>1</v>
      </c>
      <c r="J95" s="211">
        <v>0</v>
      </c>
      <c r="K95" s="211"/>
      <c r="L95" s="211"/>
      <c r="M95" s="211"/>
    </row>
    <row r="96" spans="2:13" x14ac:dyDescent="0.15">
      <c r="B96" s="206" t="s">
        <v>139</v>
      </c>
      <c r="C96" s="206" t="s">
        <v>48</v>
      </c>
      <c r="D96" s="206" t="s">
        <v>48</v>
      </c>
      <c r="E96" s="199" t="s">
        <v>721</v>
      </c>
      <c r="F96" s="199" t="s">
        <v>166</v>
      </c>
      <c r="G96" s="206" t="s">
        <v>666</v>
      </c>
      <c r="H96" s="200">
        <v>1</v>
      </c>
      <c r="I96" s="200">
        <v>1</v>
      </c>
      <c r="J96" s="211">
        <v>0</v>
      </c>
      <c r="K96" s="211"/>
      <c r="L96" s="211"/>
      <c r="M96" s="211"/>
    </row>
    <row r="97" spans="2:13" x14ac:dyDescent="0.15">
      <c r="B97" s="206" t="s">
        <v>140</v>
      </c>
      <c r="C97" s="206" t="s">
        <v>141</v>
      </c>
      <c r="D97" s="206" t="s">
        <v>141</v>
      </c>
      <c r="E97" s="199" t="s">
        <v>722</v>
      </c>
      <c r="F97" s="199" t="s">
        <v>166</v>
      </c>
      <c r="G97" s="206" t="s">
        <v>666</v>
      </c>
      <c r="H97" s="200">
        <v>1</v>
      </c>
      <c r="I97" s="200">
        <v>1</v>
      </c>
      <c r="J97" s="211">
        <v>7000</v>
      </c>
      <c r="K97" s="211"/>
      <c r="L97" s="211"/>
      <c r="M97" s="211">
        <v>7000</v>
      </c>
    </row>
    <row r="98" spans="2:13" x14ac:dyDescent="0.15">
      <c r="B98" s="206" t="s">
        <v>142</v>
      </c>
      <c r="C98" s="206" t="s">
        <v>51</v>
      </c>
      <c r="D98" s="206" t="s">
        <v>51</v>
      </c>
      <c r="E98" s="199" t="s">
        <v>722</v>
      </c>
      <c r="F98" s="199" t="s">
        <v>166</v>
      </c>
      <c r="G98" s="206" t="s">
        <v>666</v>
      </c>
      <c r="H98" s="200">
        <v>1</v>
      </c>
      <c r="I98" s="200">
        <v>1</v>
      </c>
      <c r="J98" s="211">
        <v>0</v>
      </c>
      <c r="K98" s="211"/>
      <c r="L98" s="211"/>
      <c r="M98" s="211"/>
    </row>
    <row r="99" spans="2:13" x14ac:dyDescent="0.15">
      <c r="B99" s="196" t="s">
        <v>143</v>
      </c>
      <c r="C99" s="196" t="s">
        <v>52</v>
      </c>
      <c r="D99" s="196" t="s">
        <v>52</v>
      </c>
      <c r="E99" s="196" t="s">
        <v>722</v>
      </c>
      <c r="F99" s="196" t="s">
        <v>166</v>
      </c>
      <c r="G99" s="196" t="s">
        <v>666</v>
      </c>
      <c r="H99" s="197">
        <v>0</v>
      </c>
      <c r="I99" s="197">
        <v>1</v>
      </c>
      <c r="J99" s="210">
        <v>0</v>
      </c>
      <c r="K99" s="210">
        <v>0</v>
      </c>
      <c r="L99" s="210">
        <v>0</v>
      </c>
      <c r="M99" s="210">
        <v>0</v>
      </c>
    </row>
    <row r="100" spans="2:13" x14ac:dyDescent="0.15">
      <c r="B100" s="206" t="s">
        <v>380</v>
      </c>
      <c r="C100" s="206" t="s">
        <v>381</v>
      </c>
      <c r="D100" s="206" t="s">
        <v>581</v>
      </c>
      <c r="E100" s="199" t="s">
        <v>722</v>
      </c>
      <c r="F100" s="199" t="s">
        <v>166</v>
      </c>
      <c r="G100" s="206" t="s">
        <v>143</v>
      </c>
      <c r="H100" s="200">
        <v>1</v>
      </c>
      <c r="I100" s="200">
        <v>2</v>
      </c>
      <c r="J100" s="211">
        <v>0</v>
      </c>
      <c r="K100" s="211"/>
      <c r="L100" s="211"/>
      <c r="M100" s="211"/>
    </row>
    <row r="101" spans="2:13" x14ac:dyDescent="0.15">
      <c r="B101" s="206" t="s">
        <v>382</v>
      </c>
      <c r="C101" s="206" t="s">
        <v>383</v>
      </c>
      <c r="D101" s="206" t="s">
        <v>582</v>
      </c>
      <c r="E101" s="199" t="s">
        <v>722</v>
      </c>
      <c r="F101" s="199" t="s">
        <v>166</v>
      </c>
      <c r="G101" s="206" t="s">
        <v>143</v>
      </c>
      <c r="H101" s="200">
        <v>1</v>
      </c>
      <c r="I101" s="200">
        <v>2</v>
      </c>
      <c r="J101" s="211">
        <v>0</v>
      </c>
      <c r="K101" s="211"/>
      <c r="L101" s="211"/>
      <c r="M101" s="211"/>
    </row>
    <row r="102" spans="2:13" x14ac:dyDescent="0.15">
      <c r="B102" s="206" t="s">
        <v>384</v>
      </c>
      <c r="C102" s="206" t="s">
        <v>385</v>
      </c>
      <c r="D102" s="206" t="s">
        <v>583</v>
      </c>
      <c r="E102" s="199" t="s">
        <v>722</v>
      </c>
      <c r="F102" s="199" t="s">
        <v>166</v>
      </c>
      <c r="G102" s="206" t="s">
        <v>143</v>
      </c>
      <c r="H102" s="200">
        <v>1</v>
      </c>
      <c r="I102" s="200">
        <v>2</v>
      </c>
      <c r="J102" s="211">
        <v>0</v>
      </c>
      <c r="K102" s="211"/>
      <c r="L102" s="211"/>
      <c r="M102" s="211"/>
    </row>
    <row r="103" spans="2:13" x14ac:dyDescent="0.15">
      <c r="B103" s="206" t="s">
        <v>386</v>
      </c>
      <c r="C103" s="206" t="s">
        <v>387</v>
      </c>
      <c r="D103" s="206" t="s">
        <v>584</v>
      </c>
      <c r="E103" s="199" t="s">
        <v>722</v>
      </c>
      <c r="F103" s="199" t="s">
        <v>166</v>
      </c>
      <c r="G103" s="206" t="s">
        <v>143</v>
      </c>
      <c r="H103" s="200">
        <v>1</v>
      </c>
      <c r="I103" s="200">
        <v>2</v>
      </c>
      <c r="J103" s="211">
        <v>0</v>
      </c>
      <c r="K103" s="211"/>
      <c r="L103" s="211"/>
      <c r="M103" s="211"/>
    </row>
    <row r="104" spans="2:13" x14ac:dyDescent="0.15">
      <c r="B104" s="206" t="s">
        <v>388</v>
      </c>
      <c r="C104" s="206" t="s">
        <v>389</v>
      </c>
      <c r="D104" s="206" t="s">
        <v>585</v>
      </c>
      <c r="E104" s="199" t="s">
        <v>722</v>
      </c>
      <c r="F104" s="199" t="s">
        <v>166</v>
      </c>
      <c r="G104" s="206" t="s">
        <v>143</v>
      </c>
      <c r="H104" s="200">
        <v>1</v>
      </c>
      <c r="I104" s="200">
        <v>2</v>
      </c>
      <c r="J104" s="211">
        <v>0</v>
      </c>
      <c r="K104" s="211"/>
      <c r="L104" s="211"/>
      <c r="M104" s="211"/>
    </row>
    <row r="105" spans="2:13" x14ac:dyDescent="0.15">
      <c r="B105" s="206" t="s">
        <v>390</v>
      </c>
      <c r="C105" s="206" t="s">
        <v>391</v>
      </c>
      <c r="D105" s="206" t="s">
        <v>586</v>
      </c>
      <c r="E105" s="199" t="s">
        <v>722</v>
      </c>
      <c r="F105" s="199" t="s">
        <v>166</v>
      </c>
      <c r="G105" s="206" t="s">
        <v>143</v>
      </c>
      <c r="H105" s="200">
        <v>1</v>
      </c>
      <c r="I105" s="200">
        <v>2</v>
      </c>
      <c r="J105" s="211">
        <v>0</v>
      </c>
      <c r="K105" s="211"/>
      <c r="L105" s="211"/>
      <c r="M105" s="211"/>
    </row>
    <row r="106" spans="2:13" x14ac:dyDescent="0.15">
      <c r="B106" s="206" t="s">
        <v>144</v>
      </c>
      <c r="C106" s="206" t="s">
        <v>53</v>
      </c>
      <c r="D106" s="206" t="s">
        <v>53</v>
      </c>
      <c r="E106" s="199" t="s">
        <v>722</v>
      </c>
      <c r="F106" s="199" t="s">
        <v>166</v>
      </c>
      <c r="G106" s="206" t="s">
        <v>666</v>
      </c>
      <c r="H106" s="200">
        <v>1</v>
      </c>
      <c r="I106" s="200">
        <v>1</v>
      </c>
      <c r="J106" s="211">
        <v>0</v>
      </c>
      <c r="K106" s="211"/>
      <c r="L106" s="211"/>
      <c r="M106" s="211"/>
    </row>
    <row r="107" spans="2:13" x14ac:dyDescent="0.15">
      <c r="B107" s="196" t="s">
        <v>145</v>
      </c>
      <c r="C107" s="196" t="s">
        <v>54</v>
      </c>
      <c r="D107" s="196" t="s">
        <v>54</v>
      </c>
      <c r="E107" s="196" t="s">
        <v>722</v>
      </c>
      <c r="F107" s="196" t="s">
        <v>166</v>
      </c>
      <c r="G107" s="196" t="s">
        <v>666</v>
      </c>
      <c r="H107" s="197">
        <v>0</v>
      </c>
      <c r="I107" s="197">
        <v>1</v>
      </c>
      <c r="J107" s="210">
        <v>0</v>
      </c>
      <c r="K107" s="210">
        <v>0</v>
      </c>
      <c r="L107" s="210">
        <v>0</v>
      </c>
      <c r="M107" s="210">
        <v>0</v>
      </c>
    </row>
    <row r="108" spans="2:13" x14ac:dyDescent="0.15">
      <c r="B108" s="206" t="s">
        <v>392</v>
      </c>
      <c r="C108" s="206" t="s">
        <v>379</v>
      </c>
      <c r="D108" s="206" t="s">
        <v>587</v>
      </c>
      <c r="E108" s="199" t="s">
        <v>722</v>
      </c>
      <c r="F108" s="199" t="s">
        <v>166</v>
      </c>
      <c r="G108" s="206" t="s">
        <v>145</v>
      </c>
      <c r="H108" s="200">
        <v>1</v>
      </c>
      <c r="I108" s="200">
        <v>2</v>
      </c>
      <c r="J108" s="211">
        <v>0</v>
      </c>
      <c r="K108" s="211"/>
      <c r="L108" s="211"/>
      <c r="M108" s="211"/>
    </row>
    <row r="109" spans="2:13" x14ac:dyDescent="0.15">
      <c r="B109" s="206" t="s">
        <v>393</v>
      </c>
      <c r="C109" s="206" t="s">
        <v>394</v>
      </c>
      <c r="D109" s="206" t="s">
        <v>588</v>
      </c>
      <c r="E109" s="199" t="s">
        <v>722</v>
      </c>
      <c r="F109" s="199" t="s">
        <v>166</v>
      </c>
      <c r="G109" s="206" t="s">
        <v>145</v>
      </c>
      <c r="H109" s="200">
        <v>1</v>
      </c>
      <c r="I109" s="200">
        <v>2</v>
      </c>
      <c r="J109" s="211">
        <v>0</v>
      </c>
      <c r="K109" s="211"/>
      <c r="L109" s="211"/>
      <c r="M109" s="211"/>
    </row>
    <row r="110" spans="2:13" x14ac:dyDescent="0.15">
      <c r="B110" s="196" t="s">
        <v>146</v>
      </c>
      <c r="C110" s="196" t="s">
        <v>55</v>
      </c>
      <c r="D110" s="196" t="s">
        <v>55</v>
      </c>
      <c r="E110" s="196" t="s">
        <v>723</v>
      </c>
      <c r="F110" s="196" t="s">
        <v>165</v>
      </c>
      <c r="G110" s="196" t="s">
        <v>666</v>
      </c>
      <c r="H110" s="197">
        <v>0</v>
      </c>
      <c r="I110" s="197">
        <v>1</v>
      </c>
      <c r="J110" s="210">
        <v>0</v>
      </c>
      <c r="K110" s="210">
        <v>0</v>
      </c>
      <c r="L110" s="210">
        <v>0</v>
      </c>
      <c r="M110" s="210">
        <v>0</v>
      </c>
    </row>
    <row r="111" spans="2:13" x14ac:dyDescent="0.15">
      <c r="B111" s="206" t="s">
        <v>395</v>
      </c>
      <c r="C111" s="206" t="s">
        <v>396</v>
      </c>
      <c r="D111" s="206" t="s">
        <v>589</v>
      </c>
      <c r="E111" s="199" t="s">
        <v>723</v>
      </c>
      <c r="F111" s="199" t="s">
        <v>165</v>
      </c>
      <c r="G111" s="206" t="s">
        <v>146</v>
      </c>
      <c r="H111" s="200">
        <v>1</v>
      </c>
      <c r="I111" s="200">
        <v>2</v>
      </c>
      <c r="J111" s="211">
        <v>0</v>
      </c>
      <c r="K111" s="211"/>
      <c r="L111" s="211"/>
      <c r="M111" s="211"/>
    </row>
    <row r="112" spans="2:13" x14ac:dyDescent="0.15">
      <c r="B112" s="206" t="s">
        <v>397</v>
      </c>
      <c r="C112" s="206" t="s">
        <v>398</v>
      </c>
      <c r="D112" s="206" t="s">
        <v>590</v>
      </c>
      <c r="E112" s="199" t="s">
        <v>723</v>
      </c>
      <c r="F112" s="199" t="s">
        <v>165</v>
      </c>
      <c r="G112" s="206" t="s">
        <v>146</v>
      </c>
      <c r="H112" s="200">
        <v>1</v>
      </c>
      <c r="I112" s="200">
        <v>2</v>
      </c>
      <c r="J112" s="211">
        <v>0</v>
      </c>
      <c r="K112" s="211"/>
      <c r="L112" s="211"/>
      <c r="M112" s="211"/>
    </row>
    <row r="113" spans="2:13" x14ac:dyDescent="0.15">
      <c r="B113" s="206" t="s">
        <v>399</v>
      </c>
      <c r="C113" s="206" t="s">
        <v>400</v>
      </c>
      <c r="D113" s="206" t="s">
        <v>400</v>
      </c>
      <c r="E113" s="199" t="s">
        <v>723</v>
      </c>
      <c r="F113" s="199" t="s">
        <v>165</v>
      </c>
      <c r="G113" s="206" t="s">
        <v>666</v>
      </c>
      <c r="H113" s="200">
        <v>1</v>
      </c>
      <c r="I113" s="200">
        <v>1</v>
      </c>
      <c r="J113" s="211">
        <v>0</v>
      </c>
      <c r="K113" s="211"/>
      <c r="L113" s="211"/>
      <c r="M113" s="211"/>
    </row>
    <row r="114" spans="2:13" x14ac:dyDescent="0.15">
      <c r="B114" s="196" t="s">
        <v>147</v>
      </c>
      <c r="C114" s="196" t="s">
        <v>56</v>
      </c>
      <c r="D114" s="196" t="s">
        <v>56</v>
      </c>
      <c r="E114" s="196" t="s">
        <v>723</v>
      </c>
      <c r="F114" s="196" t="s">
        <v>165</v>
      </c>
      <c r="G114" s="196" t="s">
        <v>666</v>
      </c>
      <c r="H114" s="197">
        <v>0</v>
      </c>
      <c r="I114" s="197">
        <v>1</v>
      </c>
      <c r="J114" s="210">
        <v>0</v>
      </c>
      <c r="K114" s="210">
        <v>0</v>
      </c>
      <c r="L114" s="210">
        <v>0</v>
      </c>
      <c r="M114" s="210">
        <v>0</v>
      </c>
    </row>
    <row r="115" spans="2:13" x14ac:dyDescent="0.15">
      <c r="B115" s="206" t="s">
        <v>401</v>
      </c>
      <c r="C115" s="206" t="s">
        <v>402</v>
      </c>
      <c r="D115" s="206" t="s">
        <v>591</v>
      </c>
      <c r="E115" s="199" t="s">
        <v>723</v>
      </c>
      <c r="F115" s="199" t="s">
        <v>165</v>
      </c>
      <c r="G115" s="206" t="s">
        <v>147</v>
      </c>
      <c r="H115" s="200">
        <v>1</v>
      </c>
      <c r="I115" s="200">
        <v>2</v>
      </c>
      <c r="J115" s="211">
        <v>0</v>
      </c>
      <c r="K115" s="211"/>
      <c r="L115" s="211"/>
      <c r="M115" s="211"/>
    </row>
    <row r="116" spans="2:13" x14ac:dyDescent="0.15">
      <c r="B116" s="206" t="s">
        <v>403</v>
      </c>
      <c r="C116" s="206" t="s">
        <v>404</v>
      </c>
      <c r="D116" s="206" t="s">
        <v>592</v>
      </c>
      <c r="E116" s="199" t="s">
        <v>723</v>
      </c>
      <c r="F116" s="199" t="s">
        <v>165</v>
      </c>
      <c r="G116" s="206" t="s">
        <v>147</v>
      </c>
      <c r="H116" s="200">
        <v>1</v>
      </c>
      <c r="I116" s="200">
        <v>2</v>
      </c>
      <c r="J116" s="211">
        <v>0</v>
      </c>
      <c r="K116" s="211"/>
      <c r="L116" s="211"/>
      <c r="M116" s="211"/>
    </row>
    <row r="117" spans="2:13" x14ac:dyDescent="0.15">
      <c r="B117" s="206" t="s">
        <v>405</v>
      </c>
      <c r="C117" s="206" t="s">
        <v>406</v>
      </c>
      <c r="D117" s="206" t="s">
        <v>593</v>
      </c>
      <c r="E117" s="199" t="s">
        <v>723</v>
      </c>
      <c r="F117" s="199" t="s">
        <v>165</v>
      </c>
      <c r="G117" s="206" t="s">
        <v>147</v>
      </c>
      <c r="H117" s="200">
        <v>1</v>
      </c>
      <c r="I117" s="200">
        <v>2</v>
      </c>
      <c r="J117" s="211">
        <v>0</v>
      </c>
      <c r="K117" s="211"/>
      <c r="L117" s="211"/>
      <c r="M117" s="211"/>
    </row>
    <row r="118" spans="2:13" x14ac:dyDescent="0.15">
      <c r="B118" s="206" t="s">
        <v>407</v>
      </c>
      <c r="C118" s="206" t="s">
        <v>408</v>
      </c>
      <c r="D118" s="206" t="s">
        <v>594</v>
      </c>
      <c r="E118" s="199" t="s">
        <v>723</v>
      </c>
      <c r="F118" s="199" t="s">
        <v>165</v>
      </c>
      <c r="G118" s="206" t="s">
        <v>147</v>
      </c>
      <c r="H118" s="200">
        <v>1</v>
      </c>
      <c r="I118" s="200">
        <v>2</v>
      </c>
      <c r="J118" s="211">
        <v>0</v>
      </c>
      <c r="K118" s="211"/>
      <c r="L118" s="211"/>
      <c r="M118" s="211"/>
    </row>
    <row r="119" spans="2:13" x14ac:dyDescent="0.15">
      <c r="B119" s="206" t="s">
        <v>409</v>
      </c>
      <c r="C119" s="206" t="s">
        <v>410</v>
      </c>
      <c r="D119" s="206" t="s">
        <v>595</v>
      </c>
      <c r="E119" s="199" t="s">
        <v>723</v>
      </c>
      <c r="F119" s="199" t="s">
        <v>165</v>
      </c>
      <c r="G119" s="206" t="s">
        <v>147</v>
      </c>
      <c r="H119" s="200">
        <v>1</v>
      </c>
      <c r="I119" s="200">
        <v>2</v>
      </c>
      <c r="J119" s="211">
        <v>0</v>
      </c>
      <c r="K119" s="211"/>
      <c r="L119" s="211"/>
      <c r="M119" s="211"/>
    </row>
    <row r="120" spans="2:13" ht="11.25" customHeight="1" x14ac:dyDescent="0.15">
      <c r="B120" s="206" t="s">
        <v>411</v>
      </c>
      <c r="C120" s="206" t="s">
        <v>412</v>
      </c>
      <c r="D120" s="206" t="s">
        <v>596</v>
      </c>
      <c r="E120" s="199" t="s">
        <v>723</v>
      </c>
      <c r="F120" s="199" t="s">
        <v>165</v>
      </c>
      <c r="G120" s="206" t="s">
        <v>147</v>
      </c>
      <c r="H120" s="200">
        <v>1</v>
      </c>
      <c r="I120" s="200">
        <v>2</v>
      </c>
      <c r="J120" s="211">
        <v>0</v>
      </c>
      <c r="K120" s="211"/>
      <c r="L120" s="211"/>
      <c r="M120" s="211"/>
    </row>
    <row r="121" spans="2:13" x14ac:dyDescent="0.15">
      <c r="B121" s="206" t="s">
        <v>413</v>
      </c>
      <c r="C121" s="206" t="s">
        <v>414</v>
      </c>
      <c r="D121" s="206" t="s">
        <v>597</v>
      </c>
      <c r="E121" s="199" t="s">
        <v>723</v>
      </c>
      <c r="F121" s="199" t="s">
        <v>165</v>
      </c>
      <c r="G121" s="206" t="s">
        <v>147</v>
      </c>
      <c r="H121" s="200">
        <v>1</v>
      </c>
      <c r="I121" s="200">
        <v>2</v>
      </c>
      <c r="J121" s="211">
        <v>0</v>
      </c>
      <c r="K121" s="211"/>
      <c r="L121" s="211"/>
      <c r="M121" s="211"/>
    </row>
    <row r="122" spans="2:13" x14ac:dyDescent="0.15">
      <c r="B122" s="196" t="s">
        <v>148</v>
      </c>
      <c r="C122" s="196" t="s">
        <v>149</v>
      </c>
      <c r="D122" s="196" t="s">
        <v>149</v>
      </c>
      <c r="E122" s="196" t="s">
        <v>723</v>
      </c>
      <c r="F122" s="196" t="s">
        <v>165</v>
      </c>
      <c r="G122" s="196" t="s">
        <v>666</v>
      </c>
      <c r="H122" s="197">
        <v>0</v>
      </c>
      <c r="I122" s="197">
        <v>1</v>
      </c>
      <c r="J122" s="210">
        <v>0</v>
      </c>
      <c r="K122" s="210">
        <v>0</v>
      </c>
      <c r="L122" s="210">
        <v>0</v>
      </c>
      <c r="M122" s="210">
        <v>0</v>
      </c>
    </row>
    <row r="123" spans="2:13" x14ac:dyDescent="0.15">
      <c r="B123" s="206" t="s">
        <v>415</v>
      </c>
      <c r="C123" s="206" t="s">
        <v>416</v>
      </c>
      <c r="D123" s="206" t="s">
        <v>598</v>
      </c>
      <c r="E123" s="199" t="s">
        <v>723</v>
      </c>
      <c r="F123" s="199" t="s">
        <v>165</v>
      </c>
      <c r="G123" s="206" t="s">
        <v>148</v>
      </c>
      <c r="H123" s="200">
        <v>1</v>
      </c>
      <c r="I123" s="200">
        <v>2</v>
      </c>
      <c r="J123" s="211">
        <v>0</v>
      </c>
      <c r="K123" s="211"/>
      <c r="L123" s="211"/>
      <c r="M123" s="211"/>
    </row>
    <row r="124" spans="2:13" x14ac:dyDescent="0.15">
      <c r="B124" s="206" t="s">
        <v>417</v>
      </c>
      <c r="C124" s="206" t="s">
        <v>418</v>
      </c>
      <c r="D124" s="206" t="s">
        <v>599</v>
      </c>
      <c r="E124" s="199" t="s">
        <v>723</v>
      </c>
      <c r="F124" s="199" t="s">
        <v>165</v>
      </c>
      <c r="G124" s="206" t="s">
        <v>148</v>
      </c>
      <c r="H124" s="200">
        <v>1</v>
      </c>
      <c r="I124" s="200">
        <v>2</v>
      </c>
      <c r="J124" s="211">
        <v>0</v>
      </c>
      <c r="K124" s="211"/>
      <c r="L124" s="211"/>
      <c r="M124" s="211"/>
    </row>
    <row r="125" spans="2:13" x14ac:dyDescent="0.15">
      <c r="B125" s="196" t="s">
        <v>150</v>
      </c>
      <c r="C125" s="196" t="s">
        <v>58</v>
      </c>
      <c r="D125" s="196" t="s">
        <v>58</v>
      </c>
      <c r="E125" s="196" t="s">
        <v>723</v>
      </c>
      <c r="F125" s="196" t="s">
        <v>165</v>
      </c>
      <c r="G125" s="196" t="s">
        <v>666</v>
      </c>
      <c r="H125" s="197">
        <v>0</v>
      </c>
      <c r="I125" s="197">
        <v>1</v>
      </c>
      <c r="J125" s="210">
        <v>0</v>
      </c>
      <c r="K125" s="210">
        <v>0</v>
      </c>
      <c r="L125" s="210">
        <v>0</v>
      </c>
      <c r="M125" s="210">
        <v>0</v>
      </c>
    </row>
    <row r="126" spans="2:13" x14ac:dyDescent="0.15">
      <c r="B126" s="206" t="s">
        <v>419</v>
      </c>
      <c r="C126" s="206" t="s">
        <v>420</v>
      </c>
      <c r="D126" s="206" t="s">
        <v>600</v>
      </c>
      <c r="E126" s="199" t="s">
        <v>723</v>
      </c>
      <c r="F126" s="199" t="s">
        <v>165</v>
      </c>
      <c r="G126" s="206" t="s">
        <v>150</v>
      </c>
      <c r="H126" s="200">
        <v>1</v>
      </c>
      <c r="I126" s="200">
        <v>2</v>
      </c>
      <c r="J126" s="211">
        <v>0</v>
      </c>
      <c r="K126" s="211"/>
      <c r="L126" s="211"/>
      <c r="M126" s="211"/>
    </row>
    <row r="127" spans="2:13" x14ac:dyDescent="0.15">
      <c r="B127" s="206" t="s">
        <v>421</v>
      </c>
      <c r="C127" s="206" t="s">
        <v>422</v>
      </c>
      <c r="D127" s="206" t="s">
        <v>601</v>
      </c>
      <c r="E127" s="199" t="s">
        <v>723</v>
      </c>
      <c r="F127" s="199" t="s">
        <v>165</v>
      </c>
      <c r="G127" s="206" t="s">
        <v>150</v>
      </c>
      <c r="H127" s="200">
        <v>1</v>
      </c>
      <c r="I127" s="200">
        <v>2</v>
      </c>
      <c r="J127" s="211">
        <v>0</v>
      </c>
      <c r="K127" s="211"/>
      <c r="L127" s="211"/>
      <c r="M127" s="211"/>
    </row>
    <row r="128" spans="2:13" x14ac:dyDescent="0.15">
      <c r="B128" s="206" t="s">
        <v>151</v>
      </c>
      <c r="C128" s="206" t="s">
        <v>59</v>
      </c>
      <c r="D128" s="206" t="s">
        <v>59</v>
      </c>
      <c r="E128" s="199" t="s">
        <v>723</v>
      </c>
      <c r="F128" s="199" t="s">
        <v>165</v>
      </c>
      <c r="G128" s="206" t="s">
        <v>666</v>
      </c>
      <c r="H128" s="200">
        <v>1</v>
      </c>
      <c r="I128" s="200">
        <v>1</v>
      </c>
      <c r="J128" s="211">
        <v>0</v>
      </c>
      <c r="K128" s="211"/>
      <c r="L128" s="211"/>
      <c r="M128" s="211"/>
    </row>
    <row r="129" spans="2:13" x14ac:dyDescent="0.15">
      <c r="B129" s="206" t="s">
        <v>152</v>
      </c>
      <c r="C129" s="206" t="s">
        <v>60</v>
      </c>
      <c r="D129" s="206" t="s">
        <v>60</v>
      </c>
      <c r="E129" s="199" t="s">
        <v>724</v>
      </c>
      <c r="F129" s="199" t="s">
        <v>166</v>
      </c>
      <c r="G129" s="206" t="s">
        <v>666</v>
      </c>
      <c r="H129" s="200">
        <v>1</v>
      </c>
      <c r="I129" s="200">
        <v>1</v>
      </c>
      <c r="J129" s="211">
        <v>0</v>
      </c>
      <c r="K129" s="211"/>
      <c r="L129" s="211"/>
      <c r="M129" s="211"/>
    </row>
    <row r="130" spans="2:13" x14ac:dyDescent="0.15">
      <c r="B130" s="196" t="s">
        <v>153</v>
      </c>
      <c r="C130" s="196" t="s">
        <v>61</v>
      </c>
      <c r="D130" s="196" t="s">
        <v>61</v>
      </c>
      <c r="E130" s="196" t="s">
        <v>724</v>
      </c>
      <c r="F130" s="196" t="s">
        <v>166</v>
      </c>
      <c r="G130" s="196" t="s">
        <v>666</v>
      </c>
      <c r="H130" s="197">
        <v>0</v>
      </c>
      <c r="I130" s="197">
        <v>1</v>
      </c>
      <c r="J130" s="210">
        <v>0</v>
      </c>
      <c r="K130" s="210">
        <v>0</v>
      </c>
      <c r="L130" s="210">
        <v>0</v>
      </c>
      <c r="M130" s="210">
        <v>0</v>
      </c>
    </row>
    <row r="131" spans="2:13" x14ac:dyDescent="0.15">
      <c r="B131" s="206" t="s">
        <v>423</v>
      </c>
      <c r="C131" s="206" t="s">
        <v>424</v>
      </c>
      <c r="D131" s="206" t="s">
        <v>602</v>
      </c>
      <c r="E131" s="199" t="s">
        <v>724</v>
      </c>
      <c r="F131" s="199" t="s">
        <v>166</v>
      </c>
      <c r="G131" s="206" t="s">
        <v>153</v>
      </c>
      <c r="H131" s="200">
        <v>1</v>
      </c>
      <c r="I131" s="200">
        <v>2</v>
      </c>
      <c r="J131" s="211">
        <v>0</v>
      </c>
      <c r="K131" s="211"/>
      <c r="L131" s="211"/>
      <c r="M131" s="211"/>
    </row>
    <row r="132" spans="2:13" x14ac:dyDescent="0.15">
      <c r="B132" s="206" t="s">
        <v>425</v>
      </c>
      <c r="C132" s="206" t="s">
        <v>426</v>
      </c>
      <c r="D132" s="206" t="s">
        <v>603</v>
      </c>
      <c r="E132" s="199" t="s">
        <v>724</v>
      </c>
      <c r="F132" s="199" t="s">
        <v>166</v>
      </c>
      <c r="G132" s="206" t="s">
        <v>153</v>
      </c>
      <c r="H132" s="200">
        <v>1</v>
      </c>
      <c r="I132" s="200">
        <v>2</v>
      </c>
      <c r="J132" s="211">
        <v>0</v>
      </c>
      <c r="K132" s="211"/>
      <c r="L132" s="211"/>
      <c r="M132" s="211"/>
    </row>
    <row r="133" spans="2:13" x14ac:dyDescent="0.15">
      <c r="B133" s="206" t="s">
        <v>427</v>
      </c>
      <c r="C133" s="206" t="s">
        <v>428</v>
      </c>
      <c r="D133" s="206" t="s">
        <v>604</v>
      </c>
      <c r="E133" s="199" t="s">
        <v>724</v>
      </c>
      <c r="F133" s="199" t="s">
        <v>166</v>
      </c>
      <c r="G133" s="206" t="s">
        <v>153</v>
      </c>
      <c r="H133" s="200">
        <v>1</v>
      </c>
      <c r="I133" s="200">
        <v>2</v>
      </c>
      <c r="J133" s="211">
        <v>0</v>
      </c>
      <c r="K133" s="211"/>
      <c r="L133" s="211"/>
      <c r="M133" s="211"/>
    </row>
    <row r="134" spans="2:13" x14ac:dyDescent="0.15">
      <c r="B134" s="206" t="s">
        <v>154</v>
      </c>
      <c r="C134" s="206" t="s">
        <v>62</v>
      </c>
      <c r="D134" s="206" t="s">
        <v>62</v>
      </c>
      <c r="E134" s="199" t="s">
        <v>724</v>
      </c>
      <c r="F134" s="199" t="s">
        <v>166</v>
      </c>
      <c r="G134" s="206" t="s">
        <v>666</v>
      </c>
      <c r="H134" s="200">
        <v>1</v>
      </c>
      <c r="I134" s="200">
        <v>1</v>
      </c>
      <c r="J134" s="211">
        <v>0</v>
      </c>
      <c r="K134" s="211"/>
      <c r="L134" s="211"/>
      <c r="M134" s="211"/>
    </row>
    <row r="135" spans="2:13" x14ac:dyDescent="0.15">
      <c r="B135" s="196" t="s">
        <v>155</v>
      </c>
      <c r="C135" s="196" t="s">
        <v>63</v>
      </c>
      <c r="D135" s="196" t="s">
        <v>63</v>
      </c>
      <c r="E135" s="196" t="s">
        <v>724</v>
      </c>
      <c r="F135" s="196" t="s">
        <v>166</v>
      </c>
      <c r="G135" s="196" t="s">
        <v>666</v>
      </c>
      <c r="H135" s="197">
        <v>0</v>
      </c>
      <c r="I135" s="197">
        <v>1</v>
      </c>
      <c r="J135" s="210">
        <v>0</v>
      </c>
      <c r="K135" s="210">
        <v>0</v>
      </c>
      <c r="L135" s="210">
        <v>0</v>
      </c>
      <c r="M135" s="210">
        <v>0</v>
      </c>
    </row>
    <row r="136" spans="2:13" x14ac:dyDescent="0.15">
      <c r="B136" s="206" t="s">
        <v>429</v>
      </c>
      <c r="C136" s="206" t="s">
        <v>430</v>
      </c>
      <c r="D136" s="206" t="s">
        <v>605</v>
      </c>
      <c r="E136" s="199" t="s">
        <v>724</v>
      </c>
      <c r="F136" s="199" t="s">
        <v>166</v>
      </c>
      <c r="G136" s="206" t="s">
        <v>155</v>
      </c>
      <c r="H136" s="200">
        <v>1</v>
      </c>
      <c r="I136" s="200">
        <v>2</v>
      </c>
      <c r="J136" s="211">
        <v>0</v>
      </c>
      <c r="K136" s="211"/>
      <c r="L136" s="211"/>
      <c r="M136" s="211"/>
    </row>
    <row r="137" spans="2:13" x14ac:dyDescent="0.15">
      <c r="B137" s="206" t="s">
        <v>431</v>
      </c>
      <c r="C137" s="206" t="s">
        <v>432</v>
      </c>
      <c r="D137" s="206" t="s">
        <v>606</v>
      </c>
      <c r="E137" s="199" t="s">
        <v>724</v>
      </c>
      <c r="F137" s="199" t="s">
        <v>166</v>
      </c>
      <c r="G137" s="206" t="s">
        <v>155</v>
      </c>
      <c r="H137" s="200">
        <v>1</v>
      </c>
      <c r="I137" s="200">
        <v>2</v>
      </c>
      <c r="J137" s="211">
        <v>0</v>
      </c>
      <c r="K137" s="211"/>
      <c r="L137" s="211"/>
      <c r="M137" s="211"/>
    </row>
    <row r="138" spans="2:13" x14ac:dyDescent="0.15">
      <c r="B138" s="206" t="s">
        <v>433</v>
      </c>
      <c r="C138" s="206" t="s">
        <v>434</v>
      </c>
      <c r="D138" s="206" t="s">
        <v>607</v>
      </c>
      <c r="E138" s="199" t="s">
        <v>724</v>
      </c>
      <c r="F138" s="199" t="s">
        <v>166</v>
      </c>
      <c r="G138" s="206" t="s">
        <v>155</v>
      </c>
      <c r="H138" s="200">
        <v>1</v>
      </c>
      <c r="I138" s="200">
        <v>2</v>
      </c>
      <c r="J138" s="211">
        <v>0</v>
      </c>
      <c r="K138" s="211"/>
      <c r="L138" s="211"/>
      <c r="M138" s="211"/>
    </row>
    <row r="139" spans="2:13" x14ac:dyDescent="0.15">
      <c r="B139" s="206" t="s">
        <v>435</v>
      </c>
      <c r="C139" s="206" t="s">
        <v>436</v>
      </c>
      <c r="D139" s="206" t="s">
        <v>608</v>
      </c>
      <c r="E139" s="199" t="s">
        <v>724</v>
      </c>
      <c r="F139" s="199" t="s">
        <v>166</v>
      </c>
      <c r="G139" s="206" t="s">
        <v>155</v>
      </c>
      <c r="H139" s="200">
        <v>1</v>
      </c>
      <c r="I139" s="200">
        <v>2</v>
      </c>
      <c r="J139" s="211">
        <v>0</v>
      </c>
      <c r="K139" s="211"/>
      <c r="L139" s="211"/>
      <c r="M139" s="211"/>
    </row>
    <row r="140" spans="2:13" x14ac:dyDescent="0.15">
      <c r="B140" s="206" t="s">
        <v>437</v>
      </c>
      <c r="C140" s="206" t="s">
        <v>438</v>
      </c>
      <c r="D140" s="206" t="s">
        <v>609</v>
      </c>
      <c r="E140" s="199" t="s">
        <v>724</v>
      </c>
      <c r="F140" s="199" t="s">
        <v>166</v>
      </c>
      <c r="G140" s="206" t="s">
        <v>155</v>
      </c>
      <c r="H140" s="200">
        <v>1</v>
      </c>
      <c r="I140" s="200">
        <v>2</v>
      </c>
      <c r="J140" s="211">
        <v>0</v>
      </c>
      <c r="K140" s="211"/>
      <c r="L140" s="211"/>
      <c r="M140" s="211"/>
    </row>
    <row r="141" spans="2:13" x14ac:dyDescent="0.15">
      <c r="B141" s="206" t="s">
        <v>439</v>
      </c>
      <c r="C141" s="206" t="s">
        <v>440</v>
      </c>
      <c r="D141" s="206" t="s">
        <v>610</v>
      </c>
      <c r="E141" s="199" t="s">
        <v>724</v>
      </c>
      <c r="F141" s="199" t="s">
        <v>166</v>
      </c>
      <c r="G141" s="206" t="s">
        <v>155</v>
      </c>
      <c r="H141" s="200">
        <v>1</v>
      </c>
      <c r="I141" s="200">
        <v>2</v>
      </c>
      <c r="J141" s="211">
        <v>0</v>
      </c>
      <c r="K141" s="211"/>
      <c r="L141" s="211"/>
      <c r="M141" s="211"/>
    </row>
    <row r="142" spans="2:13" x14ac:dyDescent="0.15">
      <c r="B142" s="206" t="s">
        <v>441</v>
      </c>
      <c r="C142" s="206" t="s">
        <v>442</v>
      </c>
      <c r="D142" s="206" t="s">
        <v>611</v>
      </c>
      <c r="E142" s="199" t="s">
        <v>724</v>
      </c>
      <c r="F142" s="199" t="s">
        <v>166</v>
      </c>
      <c r="G142" s="206" t="s">
        <v>155</v>
      </c>
      <c r="H142" s="200">
        <v>1</v>
      </c>
      <c r="I142" s="200">
        <v>2</v>
      </c>
      <c r="J142" s="211">
        <v>0</v>
      </c>
      <c r="K142" s="211"/>
      <c r="L142" s="211"/>
      <c r="M142" s="211"/>
    </row>
    <row r="143" spans="2:13" x14ac:dyDescent="0.15">
      <c r="B143" s="206" t="s">
        <v>443</v>
      </c>
      <c r="C143" s="206" t="s">
        <v>444</v>
      </c>
      <c r="D143" s="206" t="s">
        <v>612</v>
      </c>
      <c r="E143" s="199" t="s">
        <v>724</v>
      </c>
      <c r="F143" s="199" t="s">
        <v>166</v>
      </c>
      <c r="G143" s="206" t="s">
        <v>155</v>
      </c>
      <c r="H143" s="200">
        <v>1</v>
      </c>
      <c r="I143" s="200">
        <v>2</v>
      </c>
      <c r="J143" s="211">
        <v>0</v>
      </c>
      <c r="K143" s="211"/>
      <c r="L143" s="211"/>
      <c r="M143" s="211"/>
    </row>
    <row r="144" spans="2:13" x14ac:dyDescent="0.15">
      <c r="B144" s="206" t="s">
        <v>445</v>
      </c>
      <c r="C144" s="206" t="s">
        <v>446</v>
      </c>
      <c r="D144" s="206" t="s">
        <v>613</v>
      </c>
      <c r="E144" s="199" t="s">
        <v>724</v>
      </c>
      <c r="F144" s="199" t="s">
        <v>166</v>
      </c>
      <c r="G144" s="206" t="s">
        <v>155</v>
      </c>
      <c r="H144" s="200">
        <v>1</v>
      </c>
      <c r="I144" s="200">
        <v>2</v>
      </c>
      <c r="J144" s="211">
        <v>0</v>
      </c>
      <c r="K144" s="211"/>
      <c r="L144" s="211"/>
      <c r="M144" s="211"/>
    </row>
    <row r="145" spans="2:13" x14ac:dyDescent="0.15">
      <c r="B145" s="206" t="s">
        <v>447</v>
      </c>
      <c r="C145" s="206" t="s">
        <v>448</v>
      </c>
      <c r="D145" s="206" t="s">
        <v>614</v>
      </c>
      <c r="E145" s="199" t="s">
        <v>724</v>
      </c>
      <c r="F145" s="199" t="s">
        <v>166</v>
      </c>
      <c r="G145" s="206" t="s">
        <v>155</v>
      </c>
      <c r="H145" s="200">
        <v>1</v>
      </c>
      <c r="I145" s="200">
        <v>2</v>
      </c>
      <c r="J145" s="211">
        <v>0</v>
      </c>
      <c r="K145" s="211"/>
      <c r="L145" s="211"/>
      <c r="M145" s="211"/>
    </row>
    <row r="146" spans="2:13" x14ac:dyDescent="0.15">
      <c r="B146" s="206" t="s">
        <v>156</v>
      </c>
      <c r="C146" s="206" t="s">
        <v>64</v>
      </c>
      <c r="D146" s="206" t="s">
        <v>64</v>
      </c>
      <c r="E146" s="199" t="s">
        <v>724</v>
      </c>
      <c r="F146" s="199" t="s">
        <v>165</v>
      </c>
      <c r="G146" s="206" t="s">
        <v>666</v>
      </c>
      <c r="H146" s="200">
        <v>1</v>
      </c>
      <c r="I146" s="200">
        <v>1</v>
      </c>
      <c r="J146" s="211">
        <v>0</v>
      </c>
      <c r="K146" s="211"/>
      <c r="L146" s="211"/>
      <c r="M146" s="211"/>
    </row>
    <row r="147" spans="2:13" x14ac:dyDescent="0.15">
      <c r="B147" s="196" t="s">
        <v>157</v>
      </c>
      <c r="C147" s="196" t="s">
        <v>66</v>
      </c>
      <c r="D147" s="196" t="s">
        <v>66</v>
      </c>
      <c r="E147" s="196" t="s">
        <v>724</v>
      </c>
      <c r="F147" s="196" t="s">
        <v>165</v>
      </c>
      <c r="G147" s="196" t="s">
        <v>666</v>
      </c>
      <c r="H147" s="197">
        <v>0</v>
      </c>
      <c r="I147" s="197">
        <v>1</v>
      </c>
      <c r="J147" s="210">
        <v>0</v>
      </c>
      <c r="K147" s="210">
        <v>0</v>
      </c>
      <c r="L147" s="210">
        <v>0</v>
      </c>
      <c r="M147" s="210">
        <v>0</v>
      </c>
    </row>
    <row r="148" spans="2:13" x14ac:dyDescent="0.15">
      <c r="B148" s="206" t="s">
        <v>449</v>
      </c>
      <c r="C148" s="206" t="s">
        <v>450</v>
      </c>
      <c r="D148" s="206" t="s">
        <v>615</v>
      </c>
      <c r="E148" s="199" t="s">
        <v>724</v>
      </c>
      <c r="F148" s="199" t="s">
        <v>165</v>
      </c>
      <c r="G148" s="206" t="s">
        <v>157</v>
      </c>
      <c r="H148" s="200">
        <v>1</v>
      </c>
      <c r="I148" s="200">
        <v>2</v>
      </c>
      <c r="J148" s="211">
        <v>0</v>
      </c>
      <c r="K148" s="211"/>
      <c r="L148" s="211"/>
      <c r="M148" s="211"/>
    </row>
    <row r="149" spans="2:13" x14ac:dyDescent="0.15">
      <c r="B149" s="206" t="s">
        <v>451</v>
      </c>
      <c r="C149" s="206" t="s">
        <v>452</v>
      </c>
      <c r="D149" s="206" t="s">
        <v>616</v>
      </c>
      <c r="E149" s="199" t="s">
        <v>724</v>
      </c>
      <c r="F149" s="199" t="s">
        <v>165</v>
      </c>
      <c r="G149" s="206" t="s">
        <v>157</v>
      </c>
      <c r="H149" s="200">
        <v>1</v>
      </c>
      <c r="I149" s="200">
        <v>2</v>
      </c>
      <c r="J149" s="211">
        <v>0</v>
      </c>
      <c r="K149" s="211"/>
      <c r="L149" s="211"/>
      <c r="M149" s="211"/>
    </row>
    <row r="150" spans="2:13" x14ac:dyDescent="0.15">
      <c r="B150" s="206" t="s">
        <v>453</v>
      </c>
      <c r="C150" s="206" t="s">
        <v>454</v>
      </c>
      <c r="D150" s="206" t="s">
        <v>617</v>
      </c>
      <c r="E150" s="199" t="s">
        <v>724</v>
      </c>
      <c r="F150" s="199" t="s">
        <v>165</v>
      </c>
      <c r="G150" s="206" t="s">
        <v>157</v>
      </c>
      <c r="H150" s="200">
        <v>1</v>
      </c>
      <c r="I150" s="200">
        <v>2</v>
      </c>
      <c r="J150" s="211">
        <v>0</v>
      </c>
      <c r="K150" s="211"/>
      <c r="L150" s="211"/>
      <c r="M150" s="211"/>
    </row>
    <row r="151" spans="2:13" x14ac:dyDescent="0.15">
      <c r="B151" s="196" t="s">
        <v>158</v>
      </c>
      <c r="C151" s="196" t="s">
        <v>65</v>
      </c>
      <c r="D151" s="196" t="s">
        <v>65</v>
      </c>
      <c r="E151" s="196" t="s">
        <v>724</v>
      </c>
      <c r="F151" s="196" t="s">
        <v>165</v>
      </c>
      <c r="G151" s="196" t="s">
        <v>666</v>
      </c>
      <c r="H151" s="197">
        <v>0</v>
      </c>
      <c r="I151" s="197">
        <v>1</v>
      </c>
      <c r="J151" s="210">
        <v>0</v>
      </c>
      <c r="K151" s="210">
        <v>0</v>
      </c>
      <c r="L151" s="210">
        <v>0</v>
      </c>
      <c r="M151" s="210">
        <v>0</v>
      </c>
    </row>
    <row r="152" spans="2:13" x14ac:dyDescent="0.15">
      <c r="B152" s="206" t="s">
        <v>455</v>
      </c>
      <c r="C152" s="206" t="s">
        <v>356</v>
      </c>
      <c r="D152" s="206" t="s">
        <v>618</v>
      </c>
      <c r="E152" s="199" t="s">
        <v>725</v>
      </c>
      <c r="F152" s="199" t="s">
        <v>165</v>
      </c>
      <c r="G152" s="206" t="s">
        <v>158</v>
      </c>
      <c r="H152" s="200">
        <v>1</v>
      </c>
      <c r="I152" s="200">
        <v>2</v>
      </c>
      <c r="J152" s="211">
        <v>0</v>
      </c>
      <c r="K152" s="211"/>
      <c r="L152" s="211"/>
      <c r="M152" s="211"/>
    </row>
    <row r="153" spans="2:13" x14ac:dyDescent="0.15">
      <c r="B153" s="206" t="s">
        <v>845</v>
      </c>
      <c r="C153" s="206" t="s">
        <v>358</v>
      </c>
      <c r="D153" s="206" t="s">
        <v>619</v>
      </c>
      <c r="E153" s="199" t="s">
        <v>725</v>
      </c>
      <c r="F153" s="199" t="s">
        <v>165</v>
      </c>
      <c r="G153" s="206" t="s">
        <v>158</v>
      </c>
      <c r="H153" s="200">
        <v>1</v>
      </c>
      <c r="I153" s="200">
        <v>2</v>
      </c>
      <c r="J153" s="211">
        <v>0</v>
      </c>
      <c r="K153" s="211"/>
      <c r="L153" s="211"/>
      <c r="M153" s="211"/>
    </row>
    <row r="154" spans="2:13" x14ac:dyDescent="0.15">
      <c r="B154" s="206" t="s">
        <v>456</v>
      </c>
      <c r="C154" s="206" t="s">
        <v>362</v>
      </c>
      <c r="D154" s="206" t="s">
        <v>620</v>
      </c>
      <c r="E154" s="199" t="s">
        <v>725</v>
      </c>
      <c r="F154" s="199" t="s">
        <v>165</v>
      </c>
      <c r="G154" s="206" t="s">
        <v>158</v>
      </c>
      <c r="H154" s="200">
        <v>1</v>
      </c>
      <c r="I154" s="200">
        <v>2</v>
      </c>
      <c r="J154" s="211">
        <v>0</v>
      </c>
      <c r="K154" s="211"/>
      <c r="L154" s="211"/>
      <c r="M154" s="211"/>
    </row>
    <row r="155" spans="2:13" x14ac:dyDescent="0.15">
      <c r="B155" s="206" t="s">
        <v>457</v>
      </c>
      <c r="C155" s="206" t="s">
        <v>364</v>
      </c>
      <c r="D155" s="206" t="s">
        <v>621</v>
      </c>
      <c r="E155" s="199" t="s">
        <v>725</v>
      </c>
      <c r="F155" s="199" t="s">
        <v>165</v>
      </c>
      <c r="G155" s="206" t="s">
        <v>158</v>
      </c>
      <c r="H155" s="200">
        <v>1</v>
      </c>
      <c r="I155" s="200">
        <v>2</v>
      </c>
      <c r="J155" s="211">
        <v>0</v>
      </c>
      <c r="K155" s="211"/>
      <c r="L155" s="211"/>
      <c r="M155" s="211"/>
    </row>
    <row r="156" spans="2:13" x14ac:dyDescent="0.15">
      <c r="B156" s="206" t="s">
        <v>458</v>
      </c>
      <c r="C156" s="206" t="s">
        <v>366</v>
      </c>
      <c r="D156" s="206" t="s">
        <v>622</v>
      </c>
      <c r="E156" s="199" t="s">
        <v>725</v>
      </c>
      <c r="F156" s="199" t="s">
        <v>165</v>
      </c>
      <c r="G156" s="206" t="s">
        <v>158</v>
      </c>
      <c r="H156" s="200">
        <v>1</v>
      </c>
      <c r="I156" s="200">
        <v>2</v>
      </c>
      <c r="J156" s="211">
        <v>0</v>
      </c>
      <c r="K156" s="211"/>
      <c r="L156" s="211"/>
      <c r="M156" s="211"/>
    </row>
    <row r="157" spans="2:13" x14ac:dyDescent="0.15">
      <c r="B157" s="206" t="s">
        <v>459</v>
      </c>
      <c r="C157" s="206" t="s">
        <v>368</v>
      </c>
      <c r="D157" s="206" t="s">
        <v>623</v>
      </c>
      <c r="E157" s="199" t="s">
        <v>725</v>
      </c>
      <c r="F157" s="199" t="s">
        <v>165</v>
      </c>
      <c r="G157" s="206" t="s">
        <v>158</v>
      </c>
      <c r="H157" s="200">
        <v>1</v>
      </c>
      <c r="I157" s="200">
        <v>2</v>
      </c>
      <c r="J157" s="211">
        <v>0</v>
      </c>
      <c r="K157" s="211"/>
      <c r="L157" s="211"/>
      <c r="M157" s="211"/>
    </row>
    <row r="158" spans="2:13" x14ac:dyDescent="0.15">
      <c r="B158" s="206" t="s">
        <v>460</v>
      </c>
      <c r="C158" s="206" t="s">
        <v>370</v>
      </c>
      <c r="D158" s="206" t="s">
        <v>624</v>
      </c>
      <c r="E158" s="199" t="s">
        <v>725</v>
      </c>
      <c r="F158" s="199" t="s">
        <v>165</v>
      </c>
      <c r="G158" s="206" t="s">
        <v>158</v>
      </c>
      <c r="H158" s="200">
        <v>1</v>
      </c>
      <c r="I158" s="200">
        <v>2</v>
      </c>
      <c r="J158" s="211">
        <v>0</v>
      </c>
      <c r="K158" s="211"/>
      <c r="L158" s="211"/>
      <c r="M158" s="211"/>
    </row>
    <row r="159" spans="2:13" x14ac:dyDescent="0.15">
      <c r="B159" s="206" t="s">
        <v>461</v>
      </c>
      <c r="C159" s="206" t="s">
        <v>463</v>
      </c>
      <c r="D159" s="206" t="s">
        <v>625</v>
      </c>
      <c r="E159" s="199" t="s">
        <v>725</v>
      </c>
      <c r="F159" s="199" t="s">
        <v>165</v>
      </c>
      <c r="G159" s="206" t="s">
        <v>158</v>
      </c>
      <c r="H159" s="200">
        <v>1</v>
      </c>
      <c r="I159" s="200">
        <v>2</v>
      </c>
      <c r="J159" s="211">
        <v>0</v>
      </c>
      <c r="K159" s="211"/>
      <c r="L159" s="211"/>
      <c r="M159" s="211"/>
    </row>
    <row r="160" spans="2:13" x14ac:dyDescent="0.15">
      <c r="B160" s="206" t="s">
        <v>462</v>
      </c>
      <c r="C160" s="206" t="s">
        <v>372</v>
      </c>
      <c r="D160" s="206" t="s">
        <v>626</v>
      </c>
      <c r="E160" s="199" t="s">
        <v>725</v>
      </c>
      <c r="F160" s="199" t="s">
        <v>165</v>
      </c>
      <c r="G160" s="206" t="s">
        <v>158</v>
      </c>
      <c r="H160" s="200">
        <v>1</v>
      </c>
      <c r="I160" s="200">
        <v>2</v>
      </c>
      <c r="J160" s="211">
        <v>0</v>
      </c>
      <c r="K160" s="211"/>
      <c r="L160" s="211"/>
      <c r="M160" s="211"/>
    </row>
    <row r="161" spans="2:13" x14ac:dyDescent="0.15">
      <c r="B161" s="206" t="s">
        <v>464</v>
      </c>
      <c r="C161" s="206" t="s">
        <v>374</v>
      </c>
      <c r="D161" s="206" t="s">
        <v>627</v>
      </c>
      <c r="E161" s="199" t="s">
        <v>725</v>
      </c>
      <c r="F161" s="199" t="s">
        <v>165</v>
      </c>
      <c r="G161" s="206" t="s">
        <v>158</v>
      </c>
      <c r="H161" s="200">
        <v>1</v>
      </c>
      <c r="I161" s="200">
        <v>2</v>
      </c>
      <c r="J161" s="211">
        <v>0</v>
      </c>
      <c r="K161" s="211"/>
      <c r="L161" s="211"/>
      <c r="M161" s="211"/>
    </row>
    <row r="162" spans="2:13" x14ac:dyDescent="0.15">
      <c r="B162" s="206" t="s">
        <v>465</v>
      </c>
      <c r="C162" s="206" t="s">
        <v>376</v>
      </c>
      <c r="D162" s="206" t="s">
        <v>628</v>
      </c>
      <c r="E162" s="199" t="s">
        <v>724</v>
      </c>
      <c r="F162" s="199" t="s">
        <v>165</v>
      </c>
      <c r="G162" s="206" t="s">
        <v>158</v>
      </c>
      <c r="H162" s="200">
        <v>1</v>
      </c>
      <c r="I162" s="200">
        <v>2</v>
      </c>
      <c r="J162" s="211">
        <v>0</v>
      </c>
      <c r="K162" s="211"/>
      <c r="L162" s="211"/>
      <c r="M162" s="211"/>
    </row>
    <row r="163" spans="2:13" x14ac:dyDescent="0.15">
      <c r="B163" s="196" t="s">
        <v>159</v>
      </c>
      <c r="C163" s="196" t="s">
        <v>67</v>
      </c>
      <c r="D163" s="196" t="s">
        <v>67</v>
      </c>
      <c r="E163" s="196" t="s">
        <v>724</v>
      </c>
      <c r="F163" s="196" t="s">
        <v>165</v>
      </c>
      <c r="G163" s="196" t="s">
        <v>666</v>
      </c>
      <c r="H163" s="197">
        <v>0</v>
      </c>
      <c r="I163" s="197">
        <v>1</v>
      </c>
      <c r="J163" s="210">
        <v>0</v>
      </c>
      <c r="K163" s="210">
        <v>0</v>
      </c>
      <c r="L163" s="210">
        <v>0</v>
      </c>
      <c r="M163" s="210">
        <v>0</v>
      </c>
    </row>
    <row r="164" spans="2:13" x14ac:dyDescent="0.15">
      <c r="B164" s="206" t="s">
        <v>466</v>
      </c>
      <c r="C164" s="206" t="s">
        <v>406</v>
      </c>
      <c r="D164" s="206" t="s">
        <v>629</v>
      </c>
      <c r="E164" s="199" t="s">
        <v>724</v>
      </c>
      <c r="F164" s="199" t="s">
        <v>165</v>
      </c>
      <c r="G164" s="206" t="s">
        <v>159</v>
      </c>
      <c r="H164" s="200">
        <v>1</v>
      </c>
      <c r="I164" s="200">
        <v>2</v>
      </c>
      <c r="J164" s="211">
        <v>0</v>
      </c>
      <c r="K164" s="211"/>
      <c r="L164" s="211"/>
      <c r="M164" s="211"/>
    </row>
    <row r="165" spans="2:13" x14ac:dyDescent="0.15">
      <c r="B165" s="206" t="s">
        <v>467</v>
      </c>
      <c r="C165" s="206" t="s">
        <v>468</v>
      </c>
      <c r="D165" s="206" t="s">
        <v>630</v>
      </c>
      <c r="E165" s="199" t="s">
        <v>724</v>
      </c>
      <c r="F165" s="199" t="s">
        <v>165</v>
      </c>
      <c r="G165" s="206" t="s">
        <v>159</v>
      </c>
      <c r="H165" s="200">
        <v>1</v>
      </c>
      <c r="I165" s="200">
        <v>2</v>
      </c>
      <c r="J165" s="211">
        <v>0</v>
      </c>
      <c r="K165" s="211"/>
      <c r="L165" s="211"/>
      <c r="M165" s="211"/>
    </row>
    <row r="166" spans="2:13" x14ac:dyDescent="0.15">
      <c r="B166" s="206" t="s">
        <v>469</v>
      </c>
      <c r="C166" s="206" t="s">
        <v>470</v>
      </c>
      <c r="D166" s="206" t="s">
        <v>631</v>
      </c>
      <c r="E166" s="199" t="s">
        <v>724</v>
      </c>
      <c r="F166" s="199" t="s">
        <v>165</v>
      </c>
      <c r="G166" s="206" t="s">
        <v>159</v>
      </c>
      <c r="H166" s="200">
        <v>1</v>
      </c>
      <c r="I166" s="200">
        <v>2</v>
      </c>
      <c r="J166" s="211">
        <v>0</v>
      </c>
      <c r="K166" s="211"/>
      <c r="L166" s="211"/>
      <c r="M166" s="211"/>
    </row>
    <row r="167" spans="2:13" x14ac:dyDescent="0.15">
      <c r="B167" s="206" t="s">
        <v>471</v>
      </c>
      <c r="C167" s="206" t="s">
        <v>472</v>
      </c>
      <c r="D167" s="206" t="s">
        <v>632</v>
      </c>
      <c r="E167" s="199" t="s">
        <v>724</v>
      </c>
      <c r="F167" s="199" t="s">
        <v>165</v>
      </c>
      <c r="G167" s="206" t="s">
        <v>159</v>
      </c>
      <c r="H167" s="200">
        <v>1</v>
      </c>
      <c r="I167" s="200">
        <v>2</v>
      </c>
      <c r="J167" s="211">
        <v>0</v>
      </c>
      <c r="K167" s="211"/>
      <c r="L167" s="211"/>
      <c r="M167" s="211"/>
    </row>
    <row r="168" spans="2:13" x14ac:dyDescent="0.15">
      <c r="B168" s="206" t="s">
        <v>473</v>
      </c>
      <c r="C168" s="206" t="s">
        <v>474</v>
      </c>
      <c r="D168" s="206" t="s">
        <v>633</v>
      </c>
      <c r="E168" s="199" t="s">
        <v>724</v>
      </c>
      <c r="F168" s="199" t="s">
        <v>165</v>
      </c>
      <c r="G168" s="206" t="s">
        <v>159</v>
      </c>
      <c r="H168" s="200">
        <v>1</v>
      </c>
      <c r="I168" s="200">
        <v>2</v>
      </c>
      <c r="J168" s="211">
        <v>0</v>
      </c>
      <c r="K168" s="211"/>
      <c r="L168" s="211"/>
      <c r="M168" s="211"/>
    </row>
    <row r="169" spans="2:13" x14ac:dyDescent="0.15">
      <c r="B169" s="206" t="s">
        <v>475</v>
      </c>
      <c r="C169" s="206" t="s">
        <v>476</v>
      </c>
      <c r="D169" s="206" t="s">
        <v>634</v>
      </c>
      <c r="E169" s="199" t="s">
        <v>724</v>
      </c>
      <c r="F169" s="199" t="s">
        <v>165</v>
      </c>
      <c r="G169" s="206" t="s">
        <v>159</v>
      </c>
      <c r="H169" s="200">
        <v>1</v>
      </c>
      <c r="I169" s="200">
        <v>2</v>
      </c>
      <c r="J169" s="211">
        <v>0</v>
      </c>
      <c r="K169" s="211"/>
      <c r="L169" s="211"/>
      <c r="M169" s="211"/>
    </row>
    <row r="170" spans="2:13" x14ac:dyDescent="0.15">
      <c r="B170" s="206" t="s">
        <v>477</v>
      </c>
      <c r="C170" s="206" t="s">
        <v>478</v>
      </c>
      <c r="D170" s="206" t="s">
        <v>635</v>
      </c>
      <c r="E170" s="199" t="s">
        <v>724</v>
      </c>
      <c r="F170" s="199" t="s">
        <v>165</v>
      </c>
      <c r="G170" s="206" t="s">
        <v>159</v>
      </c>
      <c r="H170" s="200">
        <v>1</v>
      </c>
      <c r="I170" s="200">
        <v>2</v>
      </c>
      <c r="J170" s="211">
        <v>0</v>
      </c>
      <c r="K170" s="211"/>
      <c r="L170" s="211"/>
      <c r="M170" s="211"/>
    </row>
    <row r="171" spans="2:13" x14ac:dyDescent="0.15">
      <c r="B171" s="206" t="s">
        <v>479</v>
      </c>
      <c r="C171" s="206" t="s">
        <v>480</v>
      </c>
      <c r="D171" s="206" t="s">
        <v>636</v>
      </c>
      <c r="E171" s="199" t="s">
        <v>724</v>
      </c>
      <c r="F171" s="199" t="s">
        <v>165</v>
      </c>
      <c r="G171" s="206" t="s">
        <v>159</v>
      </c>
      <c r="H171" s="200">
        <v>1</v>
      </c>
      <c r="I171" s="200">
        <v>2</v>
      </c>
      <c r="J171" s="211">
        <v>0</v>
      </c>
      <c r="K171" s="211"/>
      <c r="L171" s="211"/>
      <c r="M171" s="211"/>
    </row>
    <row r="172" spans="2:13" x14ac:dyDescent="0.15">
      <c r="B172" s="196" t="s">
        <v>160</v>
      </c>
      <c r="C172" s="196" t="s">
        <v>68</v>
      </c>
      <c r="D172" s="196" t="s">
        <v>68</v>
      </c>
      <c r="E172" s="196" t="s">
        <v>724</v>
      </c>
      <c r="F172" s="196" t="s">
        <v>165</v>
      </c>
      <c r="G172" s="196" t="s">
        <v>666</v>
      </c>
      <c r="H172" s="197">
        <v>0</v>
      </c>
      <c r="I172" s="197">
        <v>1</v>
      </c>
      <c r="J172" s="210">
        <v>0</v>
      </c>
      <c r="K172" s="210">
        <v>0</v>
      </c>
      <c r="L172" s="210">
        <v>0</v>
      </c>
      <c r="M172" s="210">
        <v>0</v>
      </c>
    </row>
    <row r="173" spans="2:13" x14ac:dyDescent="0.15">
      <c r="B173" s="206" t="s">
        <v>481</v>
      </c>
      <c r="C173" s="206" t="s">
        <v>482</v>
      </c>
      <c r="D173" s="206" t="s">
        <v>637</v>
      </c>
      <c r="E173" s="199" t="s">
        <v>724</v>
      </c>
      <c r="F173" s="199" t="s">
        <v>165</v>
      </c>
      <c r="G173" s="206" t="s">
        <v>160</v>
      </c>
      <c r="H173" s="200">
        <v>1</v>
      </c>
      <c r="I173" s="200">
        <v>2</v>
      </c>
      <c r="J173" s="211">
        <v>0</v>
      </c>
      <c r="K173" s="211"/>
      <c r="L173" s="211"/>
      <c r="M173" s="211"/>
    </row>
    <row r="174" spans="2:13" x14ac:dyDescent="0.15">
      <c r="B174" s="206" t="s">
        <v>483</v>
      </c>
      <c r="C174" s="206" t="s">
        <v>408</v>
      </c>
      <c r="D174" s="206" t="s">
        <v>638</v>
      </c>
      <c r="E174" s="199" t="s">
        <v>724</v>
      </c>
      <c r="F174" s="199" t="s">
        <v>165</v>
      </c>
      <c r="G174" s="206" t="s">
        <v>160</v>
      </c>
      <c r="H174" s="200">
        <v>1</v>
      </c>
      <c r="I174" s="200">
        <v>2</v>
      </c>
      <c r="J174" s="211">
        <v>0</v>
      </c>
      <c r="K174" s="211"/>
      <c r="L174" s="211"/>
      <c r="M174" s="211"/>
    </row>
    <row r="175" spans="2:13" x14ac:dyDescent="0.15">
      <c r="B175" s="206" t="s">
        <v>484</v>
      </c>
      <c r="C175" s="206" t="s">
        <v>404</v>
      </c>
      <c r="D175" s="206" t="s">
        <v>639</v>
      </c>
      <c r="E175" s="199" t="s">
        <v>724</v>
      </c>
      <c r="F175" s="199" t="s">
        <v>165</v>
      </c>
      <c r="G175" s="206" t="s">
        <v>160</v>
      </c>
      <c r="H175" s="200">
        <v>1</v>
      </c>
      <c r="I175" s="200">
        <v>2</v>
      </c>
      <c r="J175" s="211">
        <v>0</v>
      </c>
      <c r="K175" s="211"/>
      <c r="L175" s="211"/>
      <c r="M175" s="211"/>
    </row>
    <row r="176" spans="2:13" x14ac:dyDescent="0.15">
      <c r="B176" s="206" t="s">
        <v>485</v>
      </c>
      <c r="C176" s="206" t="s">
        <v>410</v>
      </c>
      <c r="D176" s="206" t="s">
        <v>640</v>
      </c>
      <c r="E176" s="199" t="s">
        <v>724</v>
      </c>
      <c r="F176" s="199" t="s">
        <v>165</v>
      </c>
      <c r="G176" s="206" t="s">
        <v>160</v>
      </c>
      <c r="H176" s="200">
        <v>1</v>
      </c>
      <c r="I176" s="200">
        <v>2</v>
      </c>
      <c r="J176" s="211">
        <v>0</v>
      </c>
      <c r="K176" s="211"/>
      <c r="L176" s="211"/>
      <c r="M176" s="211"/>
    </row>
    <row r="177" spans="2:20" x14ac:dyDescent="0.15">
      <c r="B177" s="206" t="s">
        <v>486</v>
      </c>
      <c r="C177" s="206" t="s">
        <v>412</v>
      </c>
      <c r="D177" s="206" t="s">
        <v>641</v>
      </c>
      <c r="E177" s="199" t="s">
        <v>724</v>
      </c>
      <c r="F177" s="199" t="s">
        <v>165</v>
      </c>
      <c r="G177" s="206" t="s">
        <v>160</v>
      </c>
      <c r="H177" s="200">
        <v>1</v>
      </c>
      <c r="I177" s="200">
        <v>2</v>
      </c>
      <c r="J177" s="211">
        <v>0</v>
      </c>
      <c r="K177" s="211"/>
      <c r="L177" s="211"/>
      <c r="M177" s="211"/>
    </row>
    <row r="178" spans="2:20" x14ac:dyDescent="0.15">
      <c r="B178" s="206" t="s">
        <v>487</v>
      </c>
      <c r="C178" s="206" t="s">
        <v>488</v>
      </c>
      <c r="D178" s="206" t="s">
        <v>642</v>
      </c>
      <c r="E178" s="199" t="s">
        <v>724</v>
      </c>
      <c r="F178" s="199" t="s">
        <v>165</v>
      </c>
      <c r="G178" s="206" t="s">
        <v>160</v>
      </c>
      <c r="H178" s="200">
        <v>1</v>
      </c>
      <c r="I178" s="200">
        <v>2</v>
      </c>
      <c r="J178" s="211">
        <v>0</v>
      </c>
      <c r="K178" s="211"/>
      <c r="L178" s="211"/>
      <c r="M178" s="211"/>
    </row>
    <row r="179" spans="2:20" s="98" customFormat="1" x14ac:dyDescent="0.15">
      <c r="B179" s="206" t="s">
        <v>489</v>
      </c>
      <c r="C179" s="206" t="s">
        <v>406</v>
      </c>
      <c r="D179" s="206" t="s">
        <v>643</v>
      </c>
      <c r="E179" s="199" t="s">
        <v>724</v>
      </c>
      <c r="F179" s="199" t="s">
        <v>165</v>
      </c>
      <c r="G179" s="206" t="s">
        <v>160</v>
      </c>
      <c r="H179" s="200">
        <v>1</v>
      </c>
      <c r="I179" s="200">
        <v>2</v>
      </c>
      <c r="J179" s="211">
        <v>0</v>
      </c>
      <c r="K179" s="211"/>
      <c r="L179" s="211"/>
      <c r="M179" s="211"/>
      <c r="N179" s="99"/>
      <c r="O179" s="99"/>
      <c r="P179" s="99"/>
      <c r="Q179" s="99"/>
      <c r="R179" s="99"/>
      <c r="S179" s="99"/>
      <c r="T179" s="99"/>
    </row>
    <row r="180" spans="2:20" s="98" customFormat="1" x14ac:dyDescent="0.15">
      <c r="B180" s="206" t="s">
        <v>490</v>
      </c>
      <c r="C180" s="206" t="s">
        <v>491</v>
      </c>
      <c r="D180" s="206" t="s">
        <v>644</v>
      </c>
      <c r="E180" s="199" t="s">
        <v>724</v>
      </c>
      <c r="F180" s="199" t="s">
        <v>165</v>
      </c>
      <c r="G180" s="206" t="s">
        <v>160</v>
      </c>
      <c r="H180" s="200">
        <v>1</v>
      </c>
      <c r="I180" s="200">
        <v>2</v>
      </c>
      <c r="J180" s="211">
        <v>0</v>
      </c>
      <c r="K180" s="211"/>
      <c r="L180" s="211"/>
      <c r="M180" s="211"/>
      <c r="N180" s="99"/>
      <c r="O180" s="99"/>
      <c r="P180" s="99"/>
      <c r="Q180" s="99"/>
      <c r="R180" s="99"/>
      <c r="S180" s="99"/>
      <c r="T180" s="99"/>
    </row>
    <row r="181" spans="2:20" s="98" customFormat="1" x14ac:dyDescent="0.15">
      <c r="B181" s="206" t="s">
        <v>492</v>
      </c>
      <c r="C181" s="206" t="s">
        <v>493</v>
      </c>
      <c r="D181" s="206" t="s">
        <v>645</v>
      </c>
      <c r="E181" s="199" t="s">
        <v>724</v>
      </c>
      <c r="F181" s="199" t="s">
        <v>165</v>
      </c>
      <c r="G181" s="206" t="s">
        <v>160</v>
      </c>
      <c r="H181" s="200">
        <v>1</v>
      </c>
      <c r="I181" s="200">
        <v>2</v>
      </c>
      <c r="J181" s="211">
        <v>0</v>
      </c>
      <c r="K181" s="211"/>
      <c r="L181" s="211"/>
      <c r="M181" s="211"/>
      <c r="N181" s="99"/>
      <c r="O181" s="99"/>
      <c r="P181" s="99"/>
      <c r="Q181" s="99"/>
      <c r="R181" s="99"/>
      <c r="S181" s="99"/>
      <c r="T181" s="99"/>
    </row>
    <row r="182" spans="2:20" s="98" customFormat="1" x14ac:dyDescent="0.15">
      <c r="B182" s="206" t="s">
        <v>494</v>
      </c>
      <c r="C182" s="206" t="s">
        <v>495</v>
      </c>
      <c r="D182" s="206" t="s">
        <v>646</v>
      </c>
      <c r="E182" s="199" t="s">
        <v>724</v>
      </c>
      <c r="F182" s="199" t="s">
        <v>165</v>
      </c>
      <c r="G182" s="206" t="s">
        <v>160</v>
      </c>
      <c r="H182" s="200">
        <v>1</v>
      </c>
      <c r="I182" s="200">
        <v>2</v>
      </c>
      <c r="J182" s="211">
        <v>0</v>
      </c>
      <c r="K182" s="211"/>
      <c r="L182" s="211"/>
      <c r="M182" s="211"/>
      <c r="N182" s="99"/>
      <c r="O182" s="99"/>
      <c r="P182" s="99"/>
      <c r="Q182" s="99"/>
      <c r="R182" s="99"/>
      <c r="S182" s="99"/>
      <c r="T182" s="99"/>
    </row>
    <row r="183" spans="2:20" s="98" customFormat="1" x14ac:dyDescent="0.15">
      <c r="B183" s="206" t="s">
        <v>496</v>
      </c>
      <c r="C183" s="206" t="s">
        <v>497</v>
      </c>
      <c r="D183" s="206" t="s">
        <v>647</v>
      </c>
      <c r="E183" s="199" t="s">
        <v>724</v>
      </c>
      <c r="F183" s="199" t="s">
        <v>165</v>
      </c>
      <c r="G183" s="206" t="s">
        <v>160</v>
      </c>
      <c r="H183" s="200">
        <v>1</v>
      </c>
      <c r="I183" s="200">
        <v>2</v>
      </c>
      <c r="J183" s="211">
        <v>0</v>
      </c>
      <c r="K183" s="211"/>
      <c r="L183" s="211"/>
      <c r="M183" s="211"/>
    </row>
    <row r="184" spans="2:20" s="98" customFormat="1" x14ac:dyDescent="0.15">
      <c r="B184" s="206" t="s">
        <v>498</v>
      </c>
      <c r="C184" s="206" t="s">
        <v>499</v>
      </c>
      <c r="D184" s="206" t="s">
        <v>648</v>
      </c>
      <c r="E184" s="199" t="s">
        <v>724</v>
      </c>
      <c r="F184" s="199" t="s">
        <v>165</v>
      </c>
      <c r="G184" s="206" t="s">
        <v>160</v>
      </c>
      <c r="H184" s="200">
        <v>1</v>
      </c>
      <c r="I184" s="200">
        <v>2</v>
      </c>
      <c r="J184" s="211">
        <v>0</v>
      </c>
      <c r="K184" s="211"/>
      <c r="L184" s="211"/>
      <c r="M184" s="211"/>
    </row>
    <row r="185" spans="2:20" s="98" customFormat="1" x14ac:dyDescent="0.15">
      <c r="B185" s="206" t="s">
        <v>500</v>
      </c>
      <c r="C185" s="206" t="s">
        <v>501</v>
      </c>
      <c r="D185" s="206" t="s">
        <v>649</v>
      </c>
      <c r="E185" s="199" t="s">
        <v>724</v>
      </c>
      <c r="F185" s="199" t="s">
        <v>165</v>
      </c>
      <c r="G185" s="206" t="s">
        <v>160</v>
      </c>
      <c r="H185" s="200">
        <v>1</v>
      </c>
      <c r="I185" s="200">
        <v>2</v>
      </c>
      <c r="J185" s="211">
        <v>0</v>
      </c>
      <c r="K185" s="211"/>
      <c r="L185" s="211"/>
      <c r="M185" s="211"/>
    </row>
    <row r="186" spans="2:20" s="98" customFormat="1" x14ac:dyDescent="0.15">
      <c r="B186" s="206" t="s">
        <v>502</v>
      </c>
      <c r="C186" s="206" t="s">
        <v>503</v>
      </c>
      <c r="D186" s="206" t="s">
        <v>650</v>
      </c>
      <c r="E186" s="199" t="s">
        <v>724</v>
      </c>
      <c r="F186" s="199" t="s">
        <v>165</v>
      </c>
      <c r="G186" s="206" t="s">
        <v>160</v>
      </c>
      <c r="H186" s="200">
        <v>1</v>
      </c>
      <c r="I186" s="200">
        <v>2</v>
      </c>
      <c r="J186" s="211">
        <v>0</v>
      </c>
      <c r="K186" s="211"/>
      <c r="L186" s="211"/>
      <c r="M186" s="211"/>
    </row>
    <row r="187" spans="2:20" s="98" customFormat="1" x14ac:dyDescent="0.15">
      <c r="B187" s="206" t="s">
        <v>504</v>
      </c>
      <c r="C187" s="206" t="s">
        <v>505</v>
      </c>
      <c r="D187" s="206" t="s">
        <v>651</v>
      </c>
      <c r="E187" s="199" t="s">
        <v>724</v>
      </c>
      <c r="F187" s="199" t="s">
        <v>165</v>
      </c>
      <c r="G187" s="206" t="s">
        <v>160</v>
      </c>
      <c r="H187" s="200">
        <v>1</v>
      </c>
      <c r="I187" s="200">
        <v>2</v>
      </c>
      <c r="J187" s="211">
        <v>0</v>
      </c>
      <c r="K187" s="211"/>
      <c r="L187" s="211"/>
      <c r="M187" s="211"/>
    </row>
    <row r="188" spans="2:20" s="98" customFormat="1" x14ac:dyDescent="0.15">
      <c r="B188" s="196" t="s">
        <v>161</v>
      </c>
      <c r="C188" s="196" t="s">
        <v>69</v>
      </c>
      <c r="D188" s="196" t="s">
        <v>69</v>
      </c>
      <c r="E188" s="196" t="s">
        <v>724</v>
      </c>
      <c r="F188" s="196" t="s">
        <v>165</v>
      </c>
      <c r="G188" s="196" t="s">
        <v>666</v>
      </c>
      <c r="H188" s="197">
        <v>0</v>
      </c>
      <c r="I188" s="197">
        <v>1</v>
      </c>
      <c r="J188" s="210">
        <v>0</v>
      </c>
      <c r="K188" s="210">
        <v>0</v>
      </c>
      <c r="L188" s="210">
        <v>0</v>
      </c>
      <c r="M188" s="210">
        <v>0</v>
      </c>
    </row>
    <row r="189" spans="2:20" s="98" customFormat="1" x14ac:dyDescent="0.15">
      <c r="B189" s="206" t="s">
        <v>506</v>
      </c>
      <c r="C189" s="206" t="s">
        <v>507</v>
      </c>
      <c r="D189" s="206" t="s">
        <v>652</v>
      </c>
      <c r="E189" s="199" t="s">
        <v>724</v>
      </c>
      <c r="F189" s="199" t="s">
        <v>165</v>
      </c>
      <c r="G189" s="206" t="s">
        <v>161</v>
      </c>
      <c r="H189" s="200">
        <v>1</v>
      </c>
      <c r="I189" s="200">
        <v>2</v>
      </c>
      <c r="J189" s="211">
        <v>0</v>
      </c>
      <c r="K189" s="211"/>
      <c r="L189" s="211"/>
      <c r="M189" s="211"/>
    </row>
    <row r="190" spans="2:20" s="98" customFormat="1" x14ac:dyDescent="0.15">
      <c r="B190" s="206" t="s">
        <v>508</v>
      </c>
      <c r="C190" s="206" t="s">
        <v>509</v>
      </c>
      <c r="D190" s="206" t="s">
        <v>653</v>
      </c>
      <c r="E190" s="199" t="s">
        <v>724</v>
      </c>
      <c r="F190" s="199" t="s">
        <v>165</v>
      </c>
      <c r="G190" s="206" t="s">
        <v>161</v>
      </c>
      <c r="H190" s="200">
        <v>1</v>
      </c>
      <c r="I190" s="200">
        <v>2</v>
      </c>
      <c r="J190" s="211">
        <v>0</v>
      </c>
      <c r="K190" s="211"/>
      <c r="L190" s="211"/>
      <c r="M190" s="211"/>
    </row>
    <row r="191" spans="2:20" s="98" customFormat="1" x14ac:dyDescent="0.15">
      <c r="B191" s="206" t="s">
        <v>510</v>
      </c>
      <c r="C191" s="206" t="s">
        <v>511</v>
      </c>
      <c r="D191" s="206" t="s">
        <v>654</v>
      </c>
      <c r="E191" s="199" t="s">
        <v>724</v>
      </c>
      <c r="F191" s="199" t="s">
        <v>165</v>
      </c>
      <c r="G191" s="206" t="s">
        <v>161</v>
      </c>
      <c r="H191" s="200">
        <v>1</v>
      </c>
      <c r="I191" s="200">
        <v>2</v>
      </c>
      <c r="J191" s="211">
        <v>0</v>
      </c>
      <c r="K191" s="211"/>
      <c r="L191" s="211"/>
      <c r="M191" s="211"/>
    </row>
    <row r="192" spans="2:20" s="98" customFormat="1" x14ac:dyDescent="0.15">
      <c r="B192" s="206" t="s">
        <v>512</v>
      </c>
      <c r="C192" s="206" t="s">
        <v>513</v>
      </c>
      <c r="D192" s="206" t="s">
        <v>655</v>
      </c>
      <c r="E192" s="199" t="s">
        <v>724</v>
      </c>
      <c r="F192" s="199" t="s">
        <v>165</v>
      </c>
      <c r="G192" s="206" t="s">
        <v>161</v>
      </c>
      <c r="H192" s="200">
        <v>1</v>
      </c>
      <c r="I192" s="200">
        <v>2</v>
      </c>
      <c r="J192" s="211">
        <v>0</v>
      </c>
      <c r="K192" s="211"/>
      <c r="L192" s="211"/>
      <c r="M192" s="211"/>
    </row>
    <row r="193" spans="2:13" s="98" customFormat="1" x14ac:dyDescent="0.15">
      <c r="B193" s="196" t="s">
        <v>162</v>
      </c>
      <c r="C193" s="196" t="s">
        <v>70</v>
      </c>
      <c r="D193" s="196" t="s">
        <v>70</v>
      </c>
      <c r="E193" s="196" t="s">
        <v>724</v>
      </c>
      <c r="F193" s="196" t="s">
        <v>165</v>
      </c>
      <c r="G193" s="196" t="s">
        <v>666</v>
      </c>
      <c r="H193" s="197">
        <v>0</v>
      </c>
      <c r="I193" s="197">
        <v>1</v>
      </c>
      <c r="J193" s="210">
        <v>0</v>
      </c>
      <c r="K193" s="210">
        <v>0</v>
      </c>
      <c r="L193" s="210">
        <v>0</v>
      </c>
      <c r="M193" s="210">
        <v>0</v>
      </c>
    </row>
    <row r="194" spans="2:13" s="98" customFormat="1" x14ac:dyDescent="0.15">
      <c r="B194" s="206" t="s">
        <v>514</v>
      </c>
      <c r="C194" s="206" t="s">
        <v>515</v>
      </c>
      <c r="D194" s="206" t="s">
        <v>656</v>
      </c>
      <c r="E194" s="199" t="s">
        <v>724</v>
      </c>
      <c r="F194" s="199" t="s">
        <v>165</v>
      </c>
      <c r="G194" s="206" t="s">
        <v>162</v>
      </c>
      <c r="H194" s="200">
        <v>1</v>
      </c>
      <c r="I194" s="200">
        <v>2</v>
      </c>
      <c r="J194" s="211">
        <v>0</v>
      </c>
      <c r="K194" s="211"/>
      <c r="L194" s="211"/>
      <c r="M194" s="211"/>
    </row>
    <row r="195" spans="2:13" s="98" customFormat="1" x14ac:dyDescent="0.15">
      <c r="B195" s="206" t="s">
        <v>516</v>
      </c>
      <c r="C195" s="206" t="s">
        <v>517</v>
      </c>
      <c r="D195" s="206" t="s">
        <v>657</v>
      </c>
      <c r="E195" s="199" t="s">
        <v>724</v>
      </c>
      <c r="F195" s="199" t="s">
        <v>165</v>
      </c>
      <c r="G195" s="206" t="s">
        <v>162</v>
      </c>
      <c r="H195" s="200">
        <v>1</v>
      </c>
      <c r="I195" s="200">
        <v>2</v>
      </c>
      <c r="J195" s="211">
        <v>0</v>
      </c>
      <c r="K195" s="211"/>
      <c r="L195" s="211"/>
      <c r="M195" s="211"/>
    </row>
    <row r="196" spans="2:13" s="98" customFormat="1" x14ac:dyDescent="0.15">
      <c r="B196" s="206" t="s">
        <v>518</v>
      </c>
      <c r="C196" s="206" t="s">
        <v>519</v>
      </c>
      <c r="D196" s="206" t="s">
        <v>658</v>
      </c>
      <c r="E196" s="199" t="s">
        <v>724</v>
      </c>
      <c r="F196" s="199" t="s">
        <v>165</v>
      </c>
      <c r="G196" s="206" t="s">
        <v>162</v>
      </c>
      <c r="H196" s="200">
        <v>1</v>
      </c>
      <c r="I196" s="200">
        <v>2</v>
      </c>
      <c r="J196" s="211">
        <v>0</v>
      </c>
      <c r="K196" s="211"/>
      <c r="L196" s="211"/>
      <c r="M196" s="211"/>
    </row>
    <row r="197" spans="2:13" s="98" customFormat="1" x14ac:dyDescent="0.15">
      <c r="B197" s="206" t="s">
        <v>520</v>
      </c>
      <c r="C197" s="206" t="s">
        <v>521</v>
      </c>
      <c r="D197" s="206" t="s">
        <v>659</v>
      </c>
      <c r="E197" s="199" t="s">
        <v>724</v>
      </c>
      <c r="F197" s="199" t="s">
        <v>165</v>
      </c>
      <c r="G197" s="206" t="s">
        <v>162</v>
      </c>
      <c r="H197" s="200">
        <v>1</v>
      </c>
      <c r="I197" s="200">
        <v>2</v>
      </c>
      <c r="J197" s="211">
        <v>0</v>
      </c>
      <c r="K197" s="211"/>
      <c r="L197" s="211"/>
      <c r="M197" s="211"/>
    </row>
    <row r="198" spans="2:13" s="98" customFormat="1" x14ac:dyDescent="0.15">
      <c r="B198" s="206" t="s">
        <v>522</v>
      </c>
      <c r="C198" s="206" t="s">
        <v>523</v>
      </c>
      <c r="D198" s="206" t="s">
        <v>660</v>
      </c>
      <c r="E198" s="199" t="s">
        <v>724</v>
      </c>
      <c r="F198" s="199" t="s">
        <v>165</v>
      </c>
      <c r="G198" s="206" t="s">
        <v>162</v>
      </c>
      <c r="H198" s="200">
        <v>1</v>
      </c>
      <c r="I198" s="200">
        <v>2</v>
      </c>
      <c r="J198" s="211">
        <v>0</v>
      </c>
      <c r="K198" s="211"/>
      <c r="L198" s="211"/>
      <c r="M198" s="211"/>
    </row>
    <row r="199" spans="2:13" s="98" customFormat="1" x14ac:dyDescent="0.15">
      <c r="B199" s="206" t="s">
        <v>524</v>
      </c>
      <c r="C199" s="206" t="s">
        <v>525</v>
      </c>
      <c r="D199" s="206" t="s">
        <v>661</v>
      </c>
      <c r="E199" s="199" t="s">
        <v>724</v>
      </c>
      <c r="F199" s="199" t="s">
        <v>165</v>
      </c>
      <c r="G199" s="206" t="s">
        <v>162</v>
      </c>
      <c r="H199" s="200">
        <v>1</v>
      </c>
      <c r="I199" s="200">
        <v>2</v>
      </c>
      <c r="J199" s="211">
        <v>0</v>
      </c>
      <c r="K199" s="211"/>
      <c r="L199" s="211"/>
      <c r="M199" s="211"/>
    </row>
    <row r="200" spans="2:13" s="98" customFormat="1" x14ac:dyDescent="0.15">
      <c r="B200" s="206" t="s">
        <v>526</v>
      </c>
      <c r="C200" s="206" t="s">
        <v>527</v>
      </c>
      <c r="D200" s="206" t="s">
        <v>662</v>
      </c>
      <c r="E200" s="199" t="s">
        <v>724</v>
      </c>
      <c r="F200" s="199" t="s">
        <v>165</v>
      </c>
      <c r="G200" s="206" t="s">
        <v>162</v>
      </c>
      <c r="H200" s="200">
        <v>1</v>
      </c>
      <c r="I200" s="200">
        <v>2</v>
      </c>
      <c r="J200" s="211">
        <v>0</v>
      </c>
      <c r="K200" s="211"/>
      <c r="L200" s="211"/>
      <c r="M200" s="211"/>
    </row>
    <row r="201" spans="2:13" s="98" customFormat="1" x14ac:dyDescent="0.15">
      <c r="B201" s="206" t="s">
        <v>528</v>
      </c>
      <c r="C201" s="206" t="s">
        <v>529</v>
      </c>
      <c r="D201" s="206" t="s">
        <v>663</v>
      </c>
      <c r="E201" s="199" t="s">
        <v>724</v>
      </c>
      <c r="F201" s="199" t="s">
        <v>165</v>
      </c>
      <c r="G201" s="206" t="s">
        <v>162</v>
      </c>
      <c r="H201" s="200">
        <v>1</v>
      </c>
      <c r="I201" s="200">
        <v>2</v>
      </c>
      <c r="J201" s="211">
        <v>0</v>
      </c>
      <c r="K201" s="211"/>
      <c r="L201" s="211"/>
      <c r="M201" s="211"/>
    </row>
    <row r="202" spans="2:13" s="98" customFormat="1" x14ac:dyDescent="0.15">
      <c r="B202" s="206" t="s">
        <v>530</v>
      </c>
      <c r="C202" s="206" t="s">
        <v>531</v>
      </c>
      <c r="D202" s="206" t="s">
        <v>664</v>
      </c>
      <c r="E202" s="199" t="s">
        <v>724</v>
      </c>
      <c r="F202" s="199" t="s">
        <v>165</v>
      </c>
      <c r="G202" s="206" t="s">
        <v>162</v>
      </c>
      <c r="H202" s="200">
        <v>1</v>
      </c>
      <c r="I202" s="200">
        <v>2</v>
      </c>
      <c r="J202" s="211">
        <v>0</v>
      </c>
      <c r="K202" s="211"/>
      <c r="L202" s="211"/>
      <c r="M202" s="211"/>
    </row>
    <row r="203" spans="2:13" s="98" customFormat="1" x14ac:dyDescent="0.15">
      <c r="B203" s="206" t="s">
        <v>532</v>
      </c>
      <c r="C203" s="206" t="s">
        <v>533</v>
      </c>
      <c r="D203" s="206" t="s">
        <v>665</v>
      </c>
      <c r="E203" s="199" t="s">
        <v>724</v>
      </c>
      <c r="F203" s="199" t="s">
        <v>165</v>
      </c>
      <c r="G203" s="206" t="s">
        <v>162</v>
      </c>
      <c r="H203" s="200">
        <v>1</v>
      </c>
      <c r="I203" s="200">
        <v>2</v>
      </c>
      <c r="J203" s="211">
        <v>0</v>
      </c>
      <c r="K203" s="211"/>
      <c r="L203" s="211"/>
      <c r="M203" s="211"/>
    </row>
    <row r="204" spans="2:13" s="98" customFormat="1" x14ac:dyDescent="0.15">
      <c r="B204" s="206" t="s">
        <v>163</v>
      </c>
      <c r="C204" s="206" t="s">
        <v>164</v>
      </c>
      <c r="D204" s="206" t="s">
        <v>164</v>
      </c>
      <c r="E204" s="199" t="s">
        <v>724</v>
      </c>
      <c r="F204" s="199" t="s">
        <v>165</v>
      </c>
      <c r="G204" s="206" t="s">
        <v>666</v>
      </c>
      <c r="H204" s="200">
        <v>1</v>
      </c>
      <c r="I204" s="200">
        <v>1</v>
      </c>
      <c r="J204" s="211">
        <v>0</v>
      </c>
      <c r="K204" s="211"/>
      <c r="L204" s="211"/>
      <c r="M204" s="211">
        <v>0</v>
      </c>
    </row>
    <row r="205" spans="2:13" s="98" customFormat="1" x14ac:dyDescent="0.15">
      <c r="B205" s="100"/>
      <c r="C205" s="100"/>
      <c r="D205" s="100"/>
      <c r="E205" s="100"/>
      <c r="F205" s="100"/>
      <c r="G205" s="100"/>
      <c r="H205" s="101"/>
      <c r="I205" s="101"/>
      <c r="J205" s="102"/>
      <c r="K205" s="102"/>
      <c r="L205" s="102"/>
      <c r="M205" s="102"/>
    </row>
    <row r="206" spans="2:13" s="98" customFormat="1" x14ac:dyDescent="0.15">
      <c r="B206" s="100"/>
      <c r="C206" s="100"/>
      <c r="D206" s="100"/>
      <c r="E206" s="100"/>
      <c r="F206" s="100"/>
      <c r="G206" s="100"/>
      <c r="H206" s="101"/>
      <c r="I206" s="101"/>
      <c r="J206" s="102"/>
      <c r="K206" s="102"/>
      <c r="L206" s="102"/>
      <c r="M206" s="102"/>
    </row>
    <row r="207" spans="2:13" s="98" customFormat="1" x14ac:dyDescent="0.15">
      <c r="B207" s="100"/>
      <c r="C207" s="100"/>
      <c r="D207" s="100"/>
      <c r="E207" s="100"/>
      <c r="F207" s="100"/>
      <c r="G207" s="100"/>
      <c r="H207" s="101"/>
      <c r="I207" s="101"/>
      <c r="J207" s="102"/>
      <c r="K207" s="102"/>
      <c r="L207" s="102"/>
      <c r="M207" s="102"/>
    </row>
    <row r="208" spans="2:13" s="98" customFormat="1" x14ac:dyDescent="0.15">
      <c r="B208" s="100"/>
      <c r="C208" s="100"/>
      <c r="D208" s="100"/>
      <c r="E208" s="100"/>
      <c r="F208" s="100"/>
      <c r="G208" s="100"/>
      <c r="H208" s="101"/>
      <c r="I208" s="101"/>
      <c r="J208" s="102"/>
      <c r="K208" s="102"/>
      <c r="L208" s="102"/>
      <c r="M208" s="102"/>
    </row>
    <row r="209" spans="2:13" s="98" customFormat="1" x14ac:dyDescent="0.15">
      <c r="B209" s="100"/>
      <c r="C209" s="100"/>
      <c r="D209" s="100"/>
      <c r="E209" s="100"/>
      <c r="F209" s="100"/>
      <c r="G209" s="100"/>
      <c r="H209" s="101"/>
      <c r="I209" s="101"/>
      <c r="J209" s="102"/>
      <c r="K209" s="102"/>
      <c r="L209" s="102"/>
      <c r="M209" s="102"/>
    </row>
    <row r="210" spans="2:13" s="98" customFormat="1" x14ac:dyDescent="0.15">
      <c r="B210" s="100"/>
      <c r="C210" s="100"/>
      <c r="D210" s="100"/>
      <c r="E210" s="100"/>
      <c r="F210" s="100"/>
      <c r="G210" s="100"/>
      <c r="H210" s="101"/>
      <c r="I210" s="101"/>
      <c r="J210" s="102"/>
      <c r="K210" s="102"/>
      <c r="L210" s="102"/>
      <c r="M210" s="102"/>
    </row>
    <row r="211" spans="2:13" s="98" customFormat="1" x14ac:dyDescent="0.15">
      <c r="B211" s="100"/>
      <c r="C211" s="100"/>
      <c r="D211" s="100"/>
      <c r="E211" s="100"/>
      <c r="F211" s="100"/>
      <c r="G211" s="100"/>
      <c r="H211" s="101"/>
      <c r="I211" s="101"/>
      <c r="J211" s="102"/>
      <c r="K211" s="102"/>
      <c r="L211" s="102"/>
      <c r="M211" s="102"/>
    </row>
    <row r="212" spans="2:13" s="98" customFormat="1" x14ac:dyDescent="0.15">
      <c r="B212" s="100"/>
      <c r="C212" s="100"/>
      <c r="D212" s="100"/>
      <c r="E212" s="100"/>
      <c r="F212" s="100"/>
      <c r="G212" s="100"/>
      <c r="H212" s="101"/>
      <c r="I212" s="101"/>
      <c r="J212" s="102"/>
      <c r="K212" s="102"/>
      <c r="L212" s="102"/>
      <c r="M212" s="102"/>
    </row>
    <row r="213" spans="2:13" s="98" customFormat="1" x14ac:dyDescent="0.15">
      <c r="B213" s="100"/>
      <c r="C213" s="100"/>
      <c r="D213" s="100"/>
      <c r="E213" s="100"/>
      <c r="F213" s="100"/>
      <c r="G213" s="100"/>
      <c r="H213" s="101"/>
      <c r="I213" s="101"/>
      <c r="J213" s="102"/>
      <c r="K213" s="102"/>
      <c r="L213" s="102"/>
      <c r="M213" s="102"/>
    </row>
    <row r="214" spans="2:13" s="98" customFormat="1" x14ac:dyDescent="0.15">
      <c r="B214" s="100"/>
      <c r="C214" s="100"/>
      <c r="D214" s="100"/>
      <c r="E214" s="100"/>
      <c r="F214" s="100"/>
      <c r="G214" s="100"/>
      <c r="H214" s="101"/>
      <c r="I214" s="101"/>
      <c r="J214" s="102"/>
      <c r="K214" s="102"/>
      <c r="L214" s="102"/>
      <c r="M214" s="102"/>
    </row>
    <row r="215" spans="2:13" s="98" customFormat="1" x14ac:dyDescent="0.15">
      <c r="B215" s="100"/>
      <c r="C215" s="100"/>
      <c r="D215" s="100"/>
      <c r="E215" s="100"/>
      <c r="F215" s="100"/>
      <c r="G215" s="100"/>
      <c r="H215" s="101"/>
      <c r="I215" s="101"/>
      <c r="J215" s="102"/>
      <c r="K215" s="102"/>
      <c r="L215" s="102"/>
      <c r="M215" s="102"/>
    </row>
    <row r="216" spans="2:13" s="98" customFormat="1" x14ac:dyDescent="0.15">
      <c r="B216" s="100"/>
      <c r="C216" s="100"/>
      <c r="D216" s="100"/>
      <c r="E216" s="100"/>
      <c r="F216" s="100"/>
      <c r="G216" s="100"/>
      <c r="H216" s="101"/>
      <c r="I216" s="101"/>
      <c r="J216" s="102"/>
      <c r="K216" s="102"/>
      <c r="L216" s="102"/>
      <c r="M216" s="102"/>
    </row>
    <row r="217" spans="2:13" s="98" customFormat="1" x14ac:dyDescent="0.15">
      <c r="B217" s="100"/>
      <c r="C217" s="100"/>
      <c r="D217" s="100"/>
      <c r="E217" s="100"/>
      <c r="F217" s="100"/>
      <c r="G217" s="100"/>
      <c r="H217" s="101"/>
      <c r="I217" s="101"/>
      <c r="J217" s="102"/>
      <c r="K217" s="102"/>
      <c r="L217" s="102"/>
      <c r="M217" s="102"/>
    </row>
    <row r="218" spans="2:13" s="98" customFormat="1" x14ac:dyDescent="0.15">
      <c r="B218" s="100"/>
      <c r="C218" s="100"/>
      <c r="D218" s="100"/>
      <c r="E218" s="100"/>
      <c r="F218" s="100"/>
      <c r="G218" s="100"/>
      <c r="H218" s="101"/>
      <c r="I218" s="101"/>
      <c r="J218" s="102"/>
      <c r="K218" s="102"/>
      <c r="L218" s="102"/>
      <c r="M218" s="102"/>
    </row>
    <row r="219" spans="2:13" s="98" customFormat="1" x14ac:dyDescent="0.15">
      <c r="B219" s="100"/>
      <c r="C219" s="100"/>
      <c r="D219" s="100"/>
      <c r="E219" s="100"/>
      <c r="F219" s="100"/>
      <c r="G219" s="100"/>
      <c r="H219" s="101"/>
      <c r="I219" s="101"/>
      <c r="J219" s="102"/>
      <c r="K219" s="102"/>
      <c r="L219" s="102"/>
      <c r="M219" s="102"/>
    </row>
    <row r="220" spans="2:13" s="98" customFormat="1" x14ac:dyDescent="0.15">
      <c r="B220" s="100"/>
      <c r="C220" s="100"/>
      <c r="D220" s="100"/>
      <c r="E220" s="100"/>
      <c r="F220" s="100"/>
      <c r="G220" s="100"/>
      <c r="H220" s="101"/>
      <c r="I220" s="101"/>
      <c r="J220" s="102"/>
      <c r="K220" s="102"/>
      <c r="L220" s="102"/>
      <c r="M220" s="102"/>
    </row>
    <row r="221" spans="2:13" s="98" customFormat="1" x14ac:dyDescent="0.15">
      <c r="B221" s="100"/>
      <c r="C221" s="100"/>
      <c r="D221" s="100"/>
      <c r="E221" s="100"/>
      <c r="F221" s="100"/>
      <c r="G221" s="100"/>
      <c r="H221" s="101"/>
      <c r="I221" s="101"/>
      <c r="J221" s="102"/>
      <c r="K221" s="102"/>
      <c r="L221" s="102"/>
      <c r="M221" s="102"/>
    </row>
    <row r="222" spans="2:13" s="98" customFormat="1" x14ac:dyDescent="0.15">
      <c r="B222" s="100"/>
      <c r="C222" s="100"/>
      <c r="D222" s="100"/>
      <c r="E222" s="100"/>
      <c r="F222" s="100"/>
      <c r="G222" s="100"/>
      <c r="H222" s="101"/>
      <c r="I222" s="101"/>
      <c r="J222" s="102"/>
      <c r="K222" s="102"/>
      <c r="L222" s="102"/>
      <c r="M222" s="102"/>
    </row>
    <row r="223" spans="2:13" s="98" customFormat="1" x14ac:dyDescent="0.15">
      <c r="B223" s="100"/>
      <c r="C223" s="100"/>
      <c r="D223" s="100"/>
      <c r="E223" s="100"/>
      <c r="F223" s="100"/>
      <c r="G223" s="100"/>
      <c r="H223" s="101"/>
      <c r="I223" s="101"/>
      <c r="J223" s="102"/>
      <c r="K223" s="102"/>
      <c r="L223" s="102"/>
      <c r="M223" s="102"/>
    </row>
    <row r="224" spans="2:13" s="98" customFormat="1" x14ac:dyDescent="0.15">
      <c r="B224" s="100"/>
      <c r="C224" s="100"/>
      <c r="D224" s="100"/>
      <c r="E224" s="100"/>
      <c r="F224" s="100"/>
      <c r="G224" s="100"/>
      <c r="H224" s="101"/>
      <c r="I224" s="101"/>
      <c r="J224" s="102"/>
      <c r="K224" s="102"/>
      <c r="L224" s="102"/>
      <c r="M224" s="102"/>
    </row>
    <row r="225" spans="2:13" s="98" customFormat="1" x14ac:dyDescent="0.15">
      <c r="B225" s="100"/>
      <c r="C225" s="100"/>
      <c r="D225" s="100"/>
      <c r="E225" s="100"/>
      <c r="F225" s="100"/>
      <c r="G225" s="100"/>
      <c r="H225" s="101"/>
      <c r="I225" s="101"/>
      <c r="J225" s="102"/>
      <c r="K225" s="102"/>
      <c r="L225" s="102"/>
      <c r="M225" s="102"/>
    </row>
    <row r="226" spans="2:13" s="98" customFormat="1" x14ac:dyDescent="0.15">
      <c r="B226" s="100"/>
      <c r="C226" s="100"/>
      <c r="D226" s="100"/>
      <c r="E226" s="100"/>
      <c r="F226" s="100"/>
      <c r="G226" s="100"/>
      <c r="H226" s="101"/>
      <c r="I226" s="101"/>
      <c r="J226" s="102"/>
      <c r="K226" s="102"/>
      <c r="L226" s="102"/>
      <c r="M226" s="102"/>
    </row>
    <row r="227" spans="2:13" s="98" customFormat="1" x14ac:dyDescent="0.15">
      <c r="B227" s="100"/>
      <c r="C227" s="100"/>
      <c r="D227" s="100"/>
      <c r="E227" s="100"/>
      <c r="F227" s="100"/>
      <c r="G227" s="100"/>
      <c r="H227" s="101"/>
      <c r="I227" s="101"/>
      <c r="J227" s="102"/>
      <c r="K227" s="102"/>
      <c r="L227" s="102"/>
      <c r="M227" s="102"/>
    </row>
    <row r="228" spans="2:13" s="98" customFormat="1" x14ac:dyDescent="0.15">
      <c r="B228" s="100"/>
      <c r="C228" s="100"/>
      <c r="D228" s="100"/>
      <c r="E228" s="100"/>
      <c r="F228" s="100"/>
      <c r="G228" s="100"/>
      <c r="H228" s="101"/>
      <c r="I228" s="101"/>
      <c r="J228" s="102"/>
      <c r="K228" s="102"/>
      <c r="L228" s="102"/>
      <c r="M228" s="102"/>
    </row>
    <row r="229" spans="2:13" s="98" customFormat="1" x14ac:dyDescent="0.15">
      <c r="B229" s="100"/>
      <c r="C229" s="100"/>
      <c r="D229" s="100"/>
      <c r="E229" s="100"/>
      <c r="F229" s="100"/>
      <c r="G229" s="100"/>
      <c r="H229" s="101"/>
      <c r="I229" s="101"/>
      <c r="J229" s="102"/>
      <c r="K229" s="102"/>
      <c r="L229" s="102"/>
      <c r="M229" s="102"/>
    </row>
    <row r="230" spans="2:13" s="98" customFormat="1" x14ac:dyDescent="0.15">
      <c r="B230" s="100"/>
      <c r="C230" s="100"/>
      <c r="D230" s="100"/>
      <c r="E230" s="100"/>
      <c r="F230" s="100"/>
      <c r="G230" s="100"/>
      <c r="H230" s="101"/>
      <c r="I230" s="101"/>
      <c r="J230" s="102"/>
      <c r="K230" s="102"/>
      <c r="L230" s="102"/>
      <c r="M230" s="102"/>
    </row>
    <row r="231" spans="2:13" s="98" customFormat="1" x14ac:dyDescent="0.15">
      <c r="B231" s="100"/>
      <c r="C231" s="100"/>
      <c r="D231" s="100"/>
      <c r="E231" s="100"/>
      <c r="F231" s="100"/>
      <c r="G231" s="100"/>
      <c r="H231" s="101"/>
      <c r="I231" s="101"/>
      <c r="J231" s="102"/>
      <c r="K231" s="102"/>
      <c r="L231" s="102"/>
      <c r="M231" s="102"/>
    </row>
    <row r="232" spans="2:13" s="98" customFormat="1" x14ac:dyDescent="0.15">
      <c r="B232" s="100"/>
      <c r="C232" s="100"/>
      <c r="D232" s="100"/>
      <c r="E232" s="100"/>
      <c r="F232" s="100"/>
      <c r="G232" s="100"/>
      <c r="H232" s="101"/>
      <c r="I232" s="101"/>
      <c r="J232" s="102"/>
      <c r="K232" s="102"/>
      <c r="L232" s="102"/>
      <c r="M232" s="102"/>
    </row>
    <row r="233" spans="2:13" s="98" customFormat="1" x14ac:dyDescent="0.15">
      <c r="B233" s="100"/>
      <c r="C233" s="100"/>
      <c r="D233" s="100"/>
      <c r="E233" s="100"/>
      <c r="F233" s="100"/>
      <c r="G233" s="100"/>
      <c r="H233" s="101"/>
      <c r="I233" s="101"/>
      <c r="J233" s="102"/>
      <c r="K233" s="102"/>
      <c r="L233" s="102"/>
      <c r="M233" s="102"/>
    </row>
    <row r="234" spans="2:13" s="98" customFormat="1" x14ac:dyDescent="0.15">
      <c r="B234" s="100"/>
      <c r="C234" s="100"/>
      <c r="D234" s="100"/>
      <c r="E234" s="100"/>
      <c r="F234" s="100"/>
      <c r="G234" s="100"/>
      <c r="H234" s="101"/>
      <c r="I234" s="101"/>
      <c r="J234" s="102"/>
      <c r="K234" s="102"/>
      <c r="L234" s="102"/>
      <c r="M234" s="102"/>
    </row>
    <row r="235" spans="2:13" s="98" customFormat="1" x14ac:dyDescent="0.15">
      <c r="B235" s="100"/>
      <c r="C235" s="100"/>
      <c r="D235" s="100"/>
      <c r="E235" s="100"/>
      <c r="F235" s="100"/>
      <c r="G235" s="100"/>
      <c r="H235" s="101"/>
      <c r="I235" s="101"/>
      <c r="J235" s="102"/>
      <c r="K235" s="102"/>
      <c r="L235" s="102"/>
      <c r="M235" s="102"/>
    </row>
    <row r="236" spans="2:13" s="98" customFormat="1" x14ac:dyDescent="0.15">
      <c r="B236" s="100"/>
      <c r="C236" s="100"/>
      <c r="D236" s="100"/>
      <c r="E236" s="100"/>
      <c r="F236" s="100"/>
      <c r="G236" s="100"/>
      <c r="H236" s="101"/>
      <c r="I236" s="101"/>
      <c r="J236" s="102"/>
      <c r="K236" s="102"/>
      <c r="L236" s="102"/>
      <c r="M236" s="102"/>
    </row>
    <row r="237" spans="2:13" s="98" customFormat="1" x14ac:dyDescent="0.15">
      <c r="B237" s="100"/>
      <c r="C237" s="100"/>
      <c r="D237" s="100"/>
      <c r="E237" s="100"/>
      <c r="F237" s="100"/>
      <c r="G237" s="100"/>
      <c r="H237" s="101"/>
      <c r="I237" s="101"/>
      <c r="J237" s="102"/>
      <c r="K237" s="102"/>
      <c r="L237" s="102"/>
      <c r="M237" s="102"/>
    </row>
    <row r="238" spans="2:13" s="98" customFormat="1" x14ac:dyDescent="0.15">
      <c r="B238" s="100"/>
      <c r="C238" s="100"/>
      <c r="D238" s="100"/>
      <c r="E238" s="100"/>
      <c r="F238" s="100"/>
      <c r="G238" s="100"/>
      <c r="H238" s="101"/>
      <c r="I238" s="101"/>
      <c r="J238" s="102"/>
      <c r="K238" s="102"/>
      <c r="L238" s="102"/>
      <c r="M238" s="102"/>
    </row>
    <row r="239" spans="2:13" s="98" customFormat="1" x14ac:dyDescent="0.15">
      <c r="B239" s="100"/>
      <c r="C239" s="100"/>
      <c r="D239" s="100"/>
      <c r="E239" s="100"/>
      <c r="F239" s="100"/>
      <c r="G239" s="100"/>
      <c r="H239" s="101"/>
      <c r="I239" s="101"/>
      <c r="J239" s="102"/>
      <c r="K239" s="102"/>
      <c r="L239" s="102"/>
      <c r="M239" s="102"/>
    </row>
    <row r="240" spans="2:13" s="98" customFormat="1" x14ac:dyDescent="0.15">
      <c r="B240" s="100"/>
      <c r="C240" s="100"/>
      <c r="D240" s="100"/>
      <c r="E240" s="100"/>
      <c r="F240" s="100"/>
      <c r="G240" s="100"/>
      <c r="H240" s="101"/>
      <c r="I240" s="101"/>
      <c r="J240" s="102"/>
      <c r="K240" s="102"/>
      <c r="L240" s="102"/>
      <c r="M240" s="102"/>
    </row>
    <row r="241" spans="2:13" s="98" customFormat="1" x14ac:dyDescent="0.15">
      <c r="B241" s="100"/>
      <c r="C241" s="100"/>
      <c r="D241" s="100"/>
      <c r="E241" s="100"/>
      <c r="F241" s="100"/>
      <c r="G241" s="100"/>
      <c r="H241" s="101"/>
      <c r="I241" s="101"/>
      <c r="J241" s="102"/>
      <c r="K241" s="102"/>
      <c r="L241" s="102"/>
      <c r="M241" s="102"/>
    </row>
    <row r="242" spans="2:13" s="98" customFormat="1" x14ac:dyDescent="0.15">
      <c r="B242" s="100"/>
      <c r="C242" s="100"/>
      <c r="D242" s="100"/>
      <c r="E242" s="100"/>
      <c r="F242" s="100"/>
      <c r="G242" s="100"/>
      <c r="H242" s="101"/>
      <c r="I242" s="101"/>
      <c r="J242" s="102"/>
      <c r="K242" s="102"/>
      <c r="L242" s="102"/>
      <c r="M242" s="102"/>
    </row>
    <row r="243" spans="2:13" s="98" customFormat="1" x14ac:dyDescent="0.15">
      <c r="B243" s="100"/>
      <c r="C243" s="100"/>
      <c r="D243" s="100"/>
      <c r="E243" s="100"/>
      <c r="F243" s="100"/>
      <c r="G243" s="100"/>
      <c r="H243" s="101"/>
      <c r="I243" s="101"/>
      <c r="J243" s="102"/>
      <c r="K243" s="102"/>
      <c r="L243" s="102"/>
      <c r="M243" s="102"/>
    </row>
    <row r="244" spans="2:13" s="98" customFormat="1" x14ac:dyDescent="0.15">
      <c r="B244" s="100"/>
      <c r="C244" s="100"/>
      <c r="D244" s="100"/>
      <c r="E244" s="100"/>
      <c r="F244" s="100"/>
      <c r="G244" s="100"/>
      <c r="H244" s="101"/>
      <c r="I244" s="101"/>
      <c r="J244" s="102"/>
      <c r="K244" s="102"/>
      <c r="L244" s="102"/>
      <c r="M244" s="102"/>
    </row>
    <row r="245" spans="2:13" s="98" customFormat="1" x14ac:dyDescent="0.15">
      <c r="B245" s="100"/>
      <c r="C245" s="100"/>
      <c r="D245" s="100"/>
      <c r="E245" s="100"/>
      <c r="F245" s="100"/>
      <c r="G245" s="100"/>
      <c r="H245" s="101"/>
      <c r="I245" s="101"/>
      <c r="J245" s="102"/>
      <c r="K245" s="102"/>
      <c r="L245" s="102"/>
      <c r="M245" s="102"/>
    </row>
    <row r="246" spans="2:13" s="98" customFormat="1" x14ac:dyDescent="0.15">
      <c r="B246" s="100"/>
      <c r="C246" s="100"/>
      <c r="D246" s="100"/>
      <c r="E246" s="100"/>
      <c r="F246" s="100"/>
      <c r="G246" s="100"/>
      <c r="H246" s="101"/>
      <c r="I246" s="101"/>
      <c r="J246" s="102"/>
      <c r="K246" s="102"/>
      <c r="L246" s="102"/>
      <c r="M246" s="102"/>
    </row>
    <row r="247" spans="2:13" s="98" customFormat="1" x14ac:dyDescent="0.15">
      <c r="B247" s="100"/>
      <c r="C247" s="100"/>
      <c r="D247" s="100"/>
      <c r="E247" s="100"/>
      <c r="F247" s="100"/>
      <c r="G247" s="100"/>
      <c r="H247" s="101"/>
      <c r="I247" s="101"/>
      <c r="J247" s="102"/>
      <c r="K247" s="102"/>
      <c r="L247" s="102"/>
      <c r="M247" s="102"/>
    </row>
    <row r="248" spans="2:13" s="98" customFormat="1" x14ac:dyDescent="0.15">
      <c r="B248" s="100"/>
      <c r="C248" s="100"/>
      <c r="D248" s="100"/>
      <c r="E248" s="100"/>
      <c r="F248" s="100"/>
      <c r="G248" s="100"/>
      <c r="H248" s="101"/>
      <c r="I248" s="101"/>
      <c r="J248" s="102"/>
      <c r="K248" s="102"/>
      <c r="L248" s="102"/>
      <c r="M248" s="102"/>
    </row>
    <row r="249" spans="2:13" s="98" customFormat="1" x14ac:dyDescent="0.15">
      <c r="B249" s="100"/>
      <c r="C249" s="100"/>
      <c r="D249" s="100"/>
      <c r="E249" s="100"/>
      <c r="F249" s="100"/>
      <c r="G249" s="100"/>
      <c r="H249" s="101"/>
      <c r="I249" s="101"/>
      <c r="J249" s="102"/>
      <c r="K249" s="102"/>
      <c r="L249" s="102"/>
      <c r="M249" s="102"/>
    </row>
    <row r="250" spans="2:13" s="98" customFormat="1" x14ac:dyDescent="0.15">
      <c r="B250" s="100"/>
      <c r="C250" s="100"/>
      <c r="D250" s="100"/>
      <c r="E250" s="100"/>
      <c r="F250" s="100"/>
      <c r="G250" s="100"/>
      <c r="H250" s="101"/>
      <c r="I250" s="101"/>
      <c r="J250" s="102"/>
      <c r="K250" s="102"/>
      <c r="L250" s="102"/>
      <c r="M250" s="102"/>
    </row>
    <row r="251" spans="2:13" s="98" customFormat="1" x14ac:dyDescent="0.15">
      <c r="B251" s="100"/>
      <c r="C251" s="100"/>
      <c r="D251" s="100"/>
      <c r="E251" s="100"/>
      <c r="F251" s="100"/>
      <c r="G251" s="100"/>
      <c r="H251" s="101"/>
      <c r="I251" s="101"/>
      <c r="J251" s="102"/>
      <c r="K251" s="102"/>
      <c r="L251" s="102"/>
      <c r="M251" s="102"/>
    </row>
    <row r="252" spans="2:13" s="98" customFormat="1" x14ac:dyDescent="0.15">
      <c r="B252" s="100"/>
      <c r="C252" s="100"/>
      <c r="D252" s="100"/>
      <c r="E252" s="100"/>
      <c r="F252" s="100"/>
      <c r="G252" s="100"/>
      <c r="H252" s="101"/>
      <c r="I252" s="101"/>
      <c r="J252" s="102"/>
      <c r="K252" s="102"/>
      <c r="L252" s="102"/>
      <c r="M252" s="102"/>
    </row>
    <row r="253" spans="2:13" s="98" customFormat="1" x14ac:dyDescent="0.15">
      <c r="B253" s="100"/>
      <c r="C253" s="100"/>
      <c r="D253" s="100"/>
      <c r="E253" s="100"/>
      <c r="F253" s="100"/>
      <c r="G253" s="100"/>
      <c r="H253" s="101"/>
      <c r="I253" s="101"/>
      <c r="J253" s="102"/>
      <c r="K253" s="102"/>
      <c r="L253" s="102"/>
      <c r="M253" s="102"/>
    </row>
    <row r="254" spans="2:13" s="98" customFormat="1" x14ac:dyDescent="0.15">
      <c r="B254" s="100"/>
      <c r="C254" s="100"/>
      <c r="D254" s="100"/>
      <c r="E254" s="100"/>
      <c r="F254" s="100"/>
      <c r="G254" s="100"/>
      <c r="H254" s="101"/>
      <c r="I254" s="101"/>
      <c r="J254" s="102"/>
      <c r="K254" s="102"/>
      <c r="L254" s="102"/>
      <c r="M254" s="102"/>
    </row>
    <row r="255" spans="2:13" s="98" customFormat="1" x14ac:dyDescent="0.15">
      <c r="B255" s="100"/>
      <c r="C255" s="100"/>
      <c r="D255" s="100"/>
      <c r="E255" s="100"/>
      <c r="F255" s="100"/>
      <c r="G255" s="100"/>
      <c r="H255" s="101"/>
      <c r="I255" s="101"/>
      <c r="J255" s="102"/>
      <c r="K255" s="102"/>
      <c r="L255" s="102"/>
      <c r="M255" s="102"/>
    </row>
    <row r="256" spans="2:13" s="98" customFormat="1" x14ac:dyDescent="0.15">
      <c r="B256" s="100"/>
      <c r="C256" s="100"/>
      <c r="D256" s="100"/>
      <c r="E256" s="100"/>
      <c r="F256" s="100"/>
      <c r="G256" s="100"/>
      <c r="H256" s="101"/>
      <c r="I256" s="101"/>
      <c r="J256" s="102"/>
      <c r="K256" s="102"/>
      <c r="L256" s="102"/>
      <c r="M256" s="102"/>
    </row>
    <row r="257" spans="2:13" s="98" customFormat="1" x14ac:dyDescent="0.15">
      <c r="B257" s="100"/>
      <c r="C257" s="100"/>
      <c r="D257" s="100"/>
      <c r="E257" s="100"/>
      <c r="F257" s="100"/>
      <c r="G257" s="100"/>
      <c r="H257" s="101"/>
      <c r="I257" s="101"/>
      <c r="J257" s="102"/>
      <c r="K257" s="102"/>
      <c r="L257" s="102"/>
      <c r="M257" s="102"/>
    </row>
    <row r="258" spans="2:13" s="98" customFormat="1" x14ac:dyDescent="0.15">
      <c r="B258" s="100"/>
      <c r="C258" s="100"/>
      <c r="D258" s="100"/>
      <c r="E258" s="100"/>
      <c r="F258" s="100"/>
      <c r="G258" s="100"/>
      <c r="H258" s="101"/>
      <c r="I258" s="101"/>
      <c r="J258" s="102"/>
      <c r="K258" s="102"/>
      <c r="L258" s="102"/>
      <c r="M258" s="102"/>
    </row>
    <row r="259" spans="2:13" s="98" customFormat="1" x14ac:dyDescent="0.15">
      <c r="B259" s="100"/>
      <c r="C259" s="100"/>
      <c r="D259" s="100"/>
      <c r="E259" s="100"/>
      <c r="F259" s="100"/>
      <c r="G259" s="100"/>
      <c r="H259" s="101"/>
      <c r="I259" s="101"/>
      <c r="J259" s="102"/>
      <c r="K259" s="102"/>
      <c r="L259" s="102"/>
      <c r="M259" s="102"/>
    </row>
    <row r="260" spans="2:13" s="98" customFormat="1" x14ac:dyDescent="0.15">
      <c r="B260" s="100"/>
      <c r="C260" s="100"/>
      <c r="D260" s="100"/>
      <c r="E260" s="100"/>
      <c r="F260" s="100"/>
      <c r="G260" s="100"/>
      <c r="H260" s="101"/>
      <c r="I260" s="101"/>
      <c r="J260" s="102"/>
      <c r="K260" s="102"/>
      <c r="L260" s="102"/>
      <c r="M260" s="102"/>
    </row>
    <row r="261" spans="2:13" s="98" customFormat="1" x14ac:dyDescent="0.15">
      <c r="B261" s="100"/>
      <c r="C261" s="100"/>
      <c r="D261" s="100"/>
      <c r="E261" s="100"/>
      <c r="F261" s="100"/>
      <c r="G261" s="100"/>
      <c r="H261" s="101"/>
      <c r="I261" s="101"/>
      <c r="J261" s="102"/>
      <c r="K261" s="102"/>
      <c r="L261" s="102"/>
      <c r="M261" s="102"/>
    </row>
    <row r="262" spans="2:13" s="98" customFormat="1" x14ac:dyDescent="0.15">
      <c r="B262" s="100"/>
      <c r="C262" s="100"/>
      <c r="D262" s="100"/>
      <c r="E262" s="100"/>
      <c r="F262" s="100"/>
      <c r="G262" s="100"/>
      <c r="H262" s="101"/>
      <c r="I262" s="101"/>
      <c r="J262" s="102"/>
      <c r="K262" s="102"/>
      <c r="L262" s="102"/>
      <c r="M262" s="102"/>
    </row>
    <row r="263" spans="2:13" s="98" customFormat="1" x14ac:dyDescent="0.15">
      <c r="B263" s="100"/>
      <c r="C263" s="100"/>
      <c r="D263" s="100"/>
      <c r="E263" s="100"/>
      <c r="F263" s="100"/>
      <c r="G263" s="100"/>
      <c r="H263" s="101"/>
      <c r="I263" s="101"/>
      <c r="J263" s="102"/>
      <c r="K263" s="102"/>
      <c r="L263" s="102"/>
      <c r="M263" s="102"/>
    </row>
    <row r="264" spans="2:13" s="98" customFormat="1" x14ac:dyDescent="0.15">
      <c r="B264" s="100"/>
      <c r="C264" s="100"/>
      <c r="D264" s="100"/>
      <c r="E264" s="100"/>
      <c r="F264" s="100"/>
      <c r="G264" s="100"/>
      <c r="H264" s="101"/>
      <c r="I264" s="101"/>
      <c r="J264" s="102"/>
      <c r="K264" s="102"/>
      <c r="L264" s="102"/>
      <c r="M264" s="102"/>
    </row>
    <row r="265" spans="2:13" s="98" customFormat="1" x14ac:dyDescent="0.15">
      <c r="B265" s="100"/>
      <c r="C265" s="100"/>
      <c r="D265" s="100"/>
      <c r="E265" s="100"/>
      <c r="F265" s="100"/>
      <c r="G265" s="100"/>
      <c r="H265" s="101"/>
      <c r="I265" s="101"/>
      <c r="J265" s="102"/>
      <c r="K265" s="102"/>
      <c r="L265" s="102"/>
      <c r="M265" s="102"/>
    </row>
    <row r="266" spans="2:13" s="98" customFormat="1" x14ac:dyDescent="0.15">
      <c r="B266" s="100"/>
      <c r="C266" s="100"/>
      <c r="D266" s="100"/>
      <c r="E266" s="100"/>
      <c r="F266" s="100"/>
      <c r="G266" s="100"/>
      <c r="H266" s="101"/>
      <c r="I266" s="101"/>
      <c r="J266" s="102"/>
      <c r="K266" s="102"/>
      <c r="L266" s="102"/>
      <c r="M266" s="102"/>
    </row>
    <row r="267" spans="2:13" s="98" customFormat="1" x14ac:dyDescent="0.15">
      <c r="B267" s="100"/>
      <c r="C267" s="100"/>
      <c r="D267" s="100"/>
      <c r="E267" s="100"/>
      <c r="F267" s="100"/>
      <c r="G267" s="100"/>
      <c r="H267" s="101"/>
      <c r="I267" s="101"/>
      <c r="J267" s="102"/>
      <c r="K267" s="102"/>
      <c r="L267" s="102"/>
      <c r="M267" s="102"/>
    </row>
    <row r="268" spans="2:13" s="98" customFormat="1" x14ac:dyDescent="0.15">
      <c r="B268" s="100"/>
      <c r="C268" s="100"/>
      <c r="D268" s="100"/>
      <c r="E268" s="100"/>
      <c r="F268" s="100"/>
      <c r="G268" s="100"/>
      <c r="H268" s="101"/>
      <c r="I268" s="101"/>
      <c r="J268" s="102"/>
      <c r="K268" s="102"/>
      <c r="L268" s="102"/>
      <c r="M268" s="102"/>
    </row>
    <row r="269" spans="2:13" s="98" customFormat="1" x14ac:dyDescent="0.15">
      <c r="B269" s="100"/>
      <c r="C269" s="100"/>
      <c r="D269" s="100"/>
      <c r="E269" s="100"/>
      <c r="F269" s="100"/>
      <c r="G269" s="100"/>
      <c r="H269" s="101"/>
      <c r="I269" s="101"/>
      <c r="J269" s="102"/>
      <c r="K269" s="102"/>
      <c r="L269" s="102"/>
      <c r="M269" s="102"/>
    </row>
    <row r="270" spans="2:13" s="98" customFormat="1" x14ac:dyDescent="0.15">
      <c r="B270" s="100"/>
      <c r="C270" s="100"/>
      <c r="D270" s="100"/>
      <c r="E270" s="100"/>
      <c r="F270" s="100"/>
      <c r="G270" s="100"/>
      <c r="H270" s="101"/>
      <c r="I270" s="101"/>
      <c r="J270" s="102"/>
      <c r="K270" s="102"/>
      <c r="L270" s="102"/>
      <c r="M270" s="102"/>
    </row>
    <row r="271" spans="2:13" s="98" customFormat="1" x14ac:dyDescent="0.15">
      <c r="B271" s="100"/>
      <c r="C271" s="100"/>
      <c r="D271" s="100"/>
      <c r="E271" s="100"/>
      <c r="F271" s="100"/>
      <c r="G271" s="100"/>
      <c r="H271" s="101"/>
      <c r="I271" s="101"/>
      <c r="J271" s="102"/>
      <c r="K271" s="102"/>
      <c r="L271" s="102"/>
      <c r="M271" s="102"/>
    </row>
    <row r="272" spans="2:13" s="98" customFormat="1" x14ac:dyDescent="0.15">
      <c r="B272" s="100"/>
      <c r="C272" s="100"/>
      <c r="D272" s="100"/>
      <c r="E272" s="100"/>
      <c r="F272" s="100"/>
      <c r="G272" s="100"/>
      <c r="H272" s="101"/>
      <c r="I272" s="101"/>
      <c r="J272" s="102"/>
      <c r="K272" s="102"/>
      <c r="L272" s="102"/>
      <c r="M272" s="102"/>
    </row>
    <row r="273" spans="2:13" s="98" customFormat="1" x14ac:dyDescent="0.15">
      <c r="B273" s="100"/>
      <c r="C273" s="100"/>
      <c r="D273" s="100"/>
      <c r="E273" s="100"/>
      <c r="F273" s="100"/>
      <c r="G273" s="100"/>
      <c r="H273" s="101"/>
      <c r="I273" s="101"/>
      <c r="J273" s="102"/>
      <c r="K273" s="102"/>
      <c r="L273" s="102"/>
      <c r="M273" s="102"/>
    </row>
    <row r="274" spans="2:13" s="98" customFormat="1" x14ac:dyDescent="0.15">
      <c r="B274" s="100"/>
      <c r="C274" s="100"/>
      <c r="D274" s="100"/>
      <c r="E274" s="100"/>
      <c r="F274" s="100"/>
      <c r="G274" s="100"/>
      <c r="H274" s="101"/>
      <c r="I274" s="101"/>
      <c r="J274" s="102"/>
      <c r="K274" s="102"/>
      <c r="L274" s="102"/>
      <c r="M274" s="102"/>
    </row>
    <row r="275" spans="2:13" s="98" customFormat="1" x14ac:dyDescent="0.15">
      <c r="B275" s="100"/>
      <c r="C275" s="100"/>
      <c r="D275" s="100"/>
      <c r="E275" s="100"/>
      <c r="F275" s="100"/>
      <c r="G275" s="100"/>
      <c r="H275" s="101"/>
      <c r="I275" s="101"/>
      <c r="J275" s="102"/>
      <c r="K275" s="102"/>
      <c r="L275" s="102"/>
      <c r="M275" s="102"/>
    </row>
    <row r="276" spans="2:13" s="98" customFormat="1" x14ac:dyDescent="0.15">
      <c r="B276" s="100"/>
      <c r="C276" s="100"/>
      <c r="D276" s="100"/>
      <c r="E276" s="100"/>
      <c r="F276" s="100"/>
      <c r="G276" s="100"/>
      <c r="H276" s="101"/>
      <c r="I276" s="101"/>
      <c r="J276" s="102"/>
      <c r="K276" s="102"/>
      <c r="L276" s="102"/>
      <c r="M276" s="102"/>
    </row>
    <row r="277" spans="2:13" s="98" customFormat="1" x14ac:dyDescent="0.15">
      <c r="B277" s="100"/>
      <c r="C277" s="100"/>
      <c r="D277" s="100"/>
      <c r="E277" s="100"/>
      <c r="F277" s="100"/>
      <c r="G277" s="100"/>
      <c r="H277" s="101"/>
      <c r="I277" s="101"/>
      <c r="J277" s="102"/>
      <c r="K277" s="102"/>
      <c r="L277" s="102"/>
      <c r="M277" s="102"/>
    </row>
    <row r="278" spans="2:13" s="98" customFormat="1" x14ac:dyDescent="0.15">
      <c r="B278" s="100"/>
      <c r="C278" s="100"/>
      <c r="D278" s="100"/>
      <c r="E278" s="100"/>
      <c r="F278" s="100"/>
      <c r="G278" s="100"/>
      <c r="H278" s="101"/>
      <c r="I278" s="101"/>
      <c r="J278" s="102"/>
      <c r="K278" s="102"/>
      <c r="L278" s="102"/>
      <c r="M278" s="102"/>
    </row>
    <row r="279" spans="2:13" s="98" customFormat="1" x14ac:dyDescent="0.15">
      <c r="B279" s="100"/>
      <c r="C279" s="100"/>
      <c r="D279" s="100"/>
      <c r="E279" s="100"/>
      <c r="F279" s="100"/>
      <c r="G279" s="100"/>
      <c r="H279" s="101"/>
      <c r="I279" s="101"/>
      <c r="J279" s="102"/>
      <c r="K279" s="102"/>
      <c r="L279" s="102"/>
      <c r="M279" s="102"/>
    </row>
    <row r="280" spans="2:13" s="98" customFormat="1" x14ac:dyDescent="0.15">
      <c r="B280" s="100"/>
      <c r="C280" s="100"/>
      <c r="D280" s="100"/>
      <c r="E280" s="100"/>
      <c r="F280" s="100"/>
      <c r="G280" s="100"/>
      <c r="H280" s="101"/>
      <c r="I280" s="101"/>
      <c r="J280" s="102"/>
      <c r="K280" s="102"/>
      <c r="L280" s="102"/>
      <c r="M280" s="102"/>
    </row>
    <row r="281" spans="2:13" s="98" customFormat="1" x14ac:dyDescent="0.15">
      <c r="B281" s="100"/>
      <c r="C281" s="100"/>
      <c r="D281" s="100"/>
      <c r="E281" s="100"/>
      <c r="F281" s="100"/>
      <c r="G281" s="100"/>
      <c r="H281" s="101"/>
      <c r="I281" s="101"/>
      <c r="J281" s="102"/>
      <c r="K281" s="102"/>
      <c r="L281" s="102"/>
      <c r="M281" s="102"/>
    </row>
    <row r="282" spans="2:13" s="98" customFormat="1" x14ac:dyDescent="0.15">
      <c r="B282" s="100"/>
      <c r="C282" s="100"/>
      <c r="D282" s="100"/>
      <c r="E282" s="100"/>
      <c r="F282" s="100"/>
      <c r="G282" s="100"/>
      <c r="H282" s="101"/>
      <c r="I282" s="101"/>
      <c r="J282" s="102"/>
      <c r="K282" s="102"/>
      <c r="L282" s="102"/>
      <c r="M282" s="102"/>
    </row>
    <row r="283" spans="2:13" s="98" customFormat="1" x14ac:dyDescent="0.15">
      <c r="B283" s="100"/>
      <c r="C283" s="100"/>
      <c r="D283" s="100"/>
      <c r="E283" s="100"/>
      <c r="F283" s="100"/>
      <c r="G283" s="100"/>
      <c r="H283" s="101"/>
      <c r="I283" s="101"/>
      <c r="J283" s="102"/>
      <c r="K283" s="102"/>
      <c r="L283" s="102"/>
      <c r="M283" s="102"/>
    </row>
    <row r="284" spans="2:13" s="98" customFormat="1" x14ac:dyDescent="0.15">
      <c r="B284" s="100"/>
      <c r="C284" s="100"/>
      <c r="D284" s="100"/>
      <c r="E284" s="100"/>
      <c r="F284" s="100"/>
      <c r="G284" s="100"/>
      <c r="H284" s="101"/>
      <c r="I284" s="101"/>
      <c r="J284" s="102"/>
      <c r="K284" s="102"/>
      <c r="L284" s="102"/>
      <c r="M284" s="102"/>
    </row>
    <row r="285" spans="2:13" s="98" customFormat="1" x14ac:dyDescent="0.15">
      <c r="B285" s="100"/>
      <c r="C285" s="100"/>
      <c r="D285" s="100"/>
      <c r="E285" s="100"/>
      <c r="F285" s="100"/>
      <c r="G285" s="100"/>
      <c r="H285" s="101"/>
      <c r="I285" s="101"/>
      <c r="J285" s="102"/>
      <c r="K285" s="102"/>
      <c r="L285" s="102"/>
      <c r="M285" s="102"/>
    </row>
    <row r="286" spans="2:13" s="98" customFormat="1" x14ac:dyDescent="0.15">
      <c r="B286" s="100"/>
      <c r="C286" s="100"/>
      <c r="D286" s="100"/>
      <c r="E286" s="100"/>
      <c r="F286" s="100"/>
      <c r="G286" s="100"/>
      <c r="H286" s="101"/>
      <c r="I286" s="101"/>
      <c r="J286" s="102"/>
      <c r="K286" s="102"/>
      <c r="L286" s="102"/>
      <c r="M286" s="102"/>
    </row>
    <row r="287" spans="2:13" s="98" customFormat="1" x14ac:dyDescent="0.15">
      <c r="B287" s="100"/>
      <c r="C287" s="100"/>
      <c r="D287" s="100"/>
      <c r="E287" s="100"/>
      <c r="F287" s="100"/>
      <c r="G287" s="100"/>
      <c r="H287" s="101"/>
      <c r="I287" s="101"/>
      <c r="J287" s="102"/>
      <c r="K287" s="102"/>
      <c r="L287" s="102"/>
      <c r="M287" s="102"/>
    </row>
    <row r="288" spans="2:13" s="98" customFormat="1" x14ac:dyDescent="0.15">
      <c r="B288" s="100"/>
      <c r="C288" s="100"/>
      <c r="D288" s="100"/>
      <c r="E288" s="100"/>
      <c r="F288" s="100"/>
      <c r="G288" s="100"/>
      <c r="H288" s="101"/>
      <c r="I288" s="101"/>
      <c r="J288" s="102"/>
      <c r="K288" s="102"/>
      <c r="L288" s="102"/>
      <c r="M288" s="102"/>
    </row>
    <row r="289" spans="2:13" s="98" customFormat="1" x14ac:dyDescent="0.15">
      <c r="B289" s="100"/>
      <c r="C289" s="100"/>
      <c r="D289" s="100"/>
      <c r="E289" s="100"/>
      <c r="F289" s="100"/>
      <c r="G289" s="100"/>
      <c r="H289" s="101"/>
      <c r="I289" s="101"/>
      <c r="J289" s="102"/>
      <c r="K289" s="102"/>
      <c r="L289" s="102"/>
      <c r="M289" s="102"/>
    </row>
    <row r="290" spans="2:13" s="98" customFormat="1" x14ac:dyDescent="0.15">
      <c r="B290" s="100"/>
      <c r="C290" s="100"/>
      <c r="D290" s="100"/>
      <c r="E290" s="100"/>
      <c r="F290" s="100"/>
      <c r="G290" s="100"/>
      <c r="H290" s="101"/>
      <c r="I290" s="101"/>
      <c r="J290" s="102"/>
      <c r="K290" s="102"/>
      <c r="L290" s="102"/>
      <c r="M290" s="102"/>
    </row>
    <row r="291" spans="2:13" s="98" customFormat="1" x14ac:dyDescent="0.15">
      <c r="B291" s="100"/>
      <c r="C291" s="100"/>
      <c r="D291" s="100"/>
      <c r="E291" s="100"/>
      <c r="F291" s="100"/>
      <c r="G291" s="100"/>
      <c r="H291" s="101"/>
      <c r="I291" s="101"/>
      <c r="J291" s="102"/>
      <c r="K291" s="102"/>
      <c r="L291" s="102"/>
      <c r="M291" s="102"/>
    </row>
    <row r="292" spans="2:13" s="98" customFormat="1" x14ac:dyDescent="0.15">
      <c r="B292" s="100"/>
      <c r="C292" s="100"/>
      <c r="D292" s="100"/>
      <c r="E292" s="100"/>
      <c r="F292" s="100"/>
      <c r="G292" s="100"/>
      <c r="H292" s="101"/>
      <c r="I292" s="101"/>
      <c r="J292" s="102"/>
      <c r="K292" s="102"/>
      <c r="L292" s="102"/>
      <c r="M292" s="102"/>
    </row>
    <row r="293" spans="2:13" s="98" customFormat="1" x14ac:dyDescent="0.15">
      <c r="B293" s="100"/>
      <c r="C293" s="100"/>
      <c r="D293" s="100"/>
      <c r="E293" s="100"/>
      <c r="F293" s="100"/>
      <c r="G293" s="100"/>
      <c r="H293" s="101"/>
      <c r="I293" s="101"/>
      <c r="J293" s="102"/>
      <c r="K293" s="102"/>
      <c r="L293" s="102"/>
      <c r="M293" s="102"/>
    </row>
    <row r="294" spans="2:13" s="98" customFormat="1" x14ac:dyDescent="0.15">
      <c r="B294" s="100"/>
      <c r="C294" s="100"/>
      <c r="D294" s="100"/>
      <c r="E294" s="100"/>
      <c r="F294" s="100"/>
      <c r="G294" s="100"/>
      <c r="H294" s="101"/>
      <c r="I294" s="101"/>
      <c r="J294" s="102"/>
      <c r="K294" s="102"/>
      <c r="L294" s="102"/>
      <c r="M294" s="102"/>
    </row>
    <row r="295" spans="2:13" s="98" customFormat="1" x14ac:dyDescent="0.15">
      <c r="B295" s="100"/>
      <c r="C295" s="100"/>
      <c r="D295" s="100"/>
      <c r="E295" s="100"/>
      <c r="F295" s="100"/>
      <c r="G295" s="100"/>
      <c r="H295" s="101"/>
      <c r="I295" s="101"/>
      <c r="J295" s="102"/>
      <c r="K295" s="102"/>
      <c r="L295" s="102"/>
      <c r="M295" s="102"/>
    </row>
    <row r="296" spans="2:13" s="98" customFormat="1" x14ac:dyDescent="0.15">
      <c r="B296" s="100"/>
      <c r="C296" s="100"/>
      <c r="D296" s="100"/>
      <c r="E296" s="100"/>
      <c r="F296" s="100"/>
      <c r="G296" s="100"/>
      <c r="H296" s="101"/>
      <c r="I296" s="101"/>
      <c r="J296" s="102"/>
      <c r="K296" s="102"/>
      <c r="L296" s="102"/>
      <c r="M296" s="102"/>
    </row>
    <row r="297" spans="2:13" s="98" customFormat="1" x14ac:dyDescent="0.15">
      <c r="B297" s="100"/>
      <c r="C297" s="100"/>
      <c r="D297" s="100"/>
      <c r="E297" s="100"/>
      <c r="F297" s="100"/>
      <c r="G297" s="100"/>
      <c r="H297" s="101"/>
      <c r="I297" s="101"/>
      <c r="J297" s="102"/>
      <c r="K297" s="102"/>
      <c r="L297" s="102"/>
      <c r="M297" s="102"/>
    </row>
    <row r="298" spans="2:13" s="98" customFormat="1" x14ac:dyDescent="0.15">
      <c r="B298" s="100"/>
      <c r="C298" s="100"/>
      <c r="D298" s="100"/>
      <c r="E298" s="100"/>
      <c r="F298" s="100"/>
      <c r="G298" s="100"/>
      <c r="H298" s="101"/>
      <c r="I298" s="101"/>
      <c r="J298" s="102"/>
      <c r="K298" s="102"/>
      <c r="L298" s="102"/>
      <c r="M298" s="102"/>
    </row>
    <row r="299" spans="2:13" s="98" customFormat="1" x14ac:dyDescent="0.15">
      <c r="B299" s="100"/>
      <c r="C299" s="100"/>
      <c r="D299" s="100"/>
      <c r="E299" s="100"/>
      <c r="F299" s="100"/>
      <c r="G299" s="100"/>
      <c r="H299" s="101"/>
      <c r="I299" s="101"/>
      <c r="J299" s="102"/>
      <c r="K299" s="102"/>
      <c r="L299" s="102"/>
      <c r="M299" s="102"/>
    </row>
    <row r="300" spans="2:13" s="98" customFormat="1" x14ac:dyDescent="0.15">
      <c r="B300" s="100"/>
      <c r="C300" s="100"/>
      <c r="D300" s="100"/>
      <c r="E300" s="100"/>
      <c r="F300" s="100"/>
      <c r="G300" s="100"/>
      <c r="H300" s="101"/>
      <c r="I300" s="101"/>
      <c r="J300" s="102"/>
      <c r="K300" s="102"/>
      <c r="L300" s="102"/>
      <c r="M300" s="102"/>
    </row>
    <row r="301" spans="2:13" s="98" customFormat="1" x14ac:dyDescent="0.15">
      <c r="B301" s="100"/>
      <c r="C301" s="100"/>
      <c r="D301" s="100"/>
      <c r="E301" s="100"/>
      <c r="F301" s="100"/>
      <c r="G301" s="100"/>
      <c r="H301" s="101"/>
      <c r="I301" s="101"/>
      <c r="J301" s="102"/>
      <c r="K301" s="102"/>
      <c r="L301" s="102"/>
      <c r="M301" s="102"/>
    </row>
    <row r="302" spans="2:13" s="98" customFormat="1" x14ac:dyDescent="0.15">
      <c r="B302" s="100"/>
      <c r="C302" s="100"/>
      <c r="D302" s="100"/>
      <c r="E302" s="100"/>
      <c r="F302" s="100"/>
      <c r="G302" s="100"/>
      <c r="H302" s="101"/>
      <c r="I302" s="101"/>
      <c r="J302" s="102"/>
      <c r="K302" s="102"/>
      <c r="L302" s="102"/>
      <c r="M302" s="102"/>
    </row>
    <row r="303" spans="2:13" s="98" customFormat="1" x14ac:dyDescent="0.15">
      <c r="B303" s="100"/>
      <c r="C303" s="100"/>
      <c r="D303" s="100"/>
      <c r="E303" s="100"/>
      <c r="F303" s="100"/>
      <c r="G303" s="100"/>
      <c r="H303" s="101"/>
      <c r="I303" s="101"/>
      <c r="J303" s="102"/>
      <c r="K303" s="102"/>
      <c r="L303" s="102"/>
      <c r="M303" s="102"/>
    </row>
    <row r="304" spans="2:13" s="98" customFormat="1" x14ac:dyDescent="0.15">
      <c r="B304" s="100"/>
      <c r="C304" s="100"/>
      <c r="D304" s="100"/>
      <c r="E304" s="100"/>
      <c r="F304" s="100"/>
      <c r="G304" s="100"/>
      <c r="H304" s="101"/>
      <c r="I304" s="101"/>
      <c r="J304" s="102"/>
      <c r="K304" s="102"/>
      <c r="L304" s="102"/>
      <c r="M304" s="102"/>
    </row>
    <row r="305" spans="2:13" s="98" customFormat="1" x14ac:dyDescent="0.15">
      <c r="B305" s="100"/>
      <c r="C305" s="100"/>
      <c r="D305" s="100"/>
      <c r="E305" s="100"/>
      <c r="F305" s="100"/>
      <c r="G305" s="100"/>
      <c r="H305" s="101"/>
      <c r="I305" s="101"/>
      <c r="J305" s="102"/>
      <c r="K305" s="102"/>
      <c r="L305" s="102"/>
      <c r="M305" s="102"/>
    </row>
    <row r="306" spans="2:13" s="98" customFormat="1" x14ac:dyDescent="0.15">
      <c r="B306" s="100"/>
      <c r="C306" s="100"/>
      <c r="D306" s="100"/>
      <c r="E306" s="100"/>
      <c r="F306" s="100"/>
      <c r="G306" s="100"/>
      <c r="H306" s="101"/>
      <c r="I306" s="101"/>
      <c r="J306" s="102"/>
      <c r="K306" s="102"/>
      <c r="L306" s="102"/>
      <c r="M306" s="102"/>
    </row>
    <row r="307" spans="2:13" s="98" customFormat="1" x14ac:dyDescent="0.15">
      <c r="B307" s="100"/>
      <c r="C307" s="100"/>
      <c r="D307" s="100"/>
      <c r="E307" s="100"/>
      <c r="F307" s="100"/>
      <c r="G307" s="100"/>
      <c r="H307" s="101"/>
      <c r="I307" s="101"/>
      <c r="J307" s="102"/>
      <c r="K307" s="102"/>
      <c r="L307" s="102"/>
      <c r="M307" s="102"/>
    </row>
    <row r="308" spans="2:13" s="98" customFormat="1" x14ac:dyDescent="0.15">
      <c r="B308" s="100"/>
      <c r="C308" s="100"/>
      <c r="D308" s="100"/>
      <c r="E308" s="100"/>
      <c r="F308" s="100"/>
      <c r="G308" s="100"/>
      <c r="H308" s="101"/>
      <c r="I308" s="101"/>
      <c r="J308" s="102"/>
      <c r="K308" s="102"/>
      <c r="L308" s="102"/>
      <c r="M308" s="102"/>
    </row>
    <row r="309" spans="2:13" s="98" customFormat="1" x14ac:dyDescent="0.15">
      <c r="B309" s="100"/>
      <c r="C309" s="100"/>
      <c r="D309" s="100"/>
      <c r="E309" s="100"/>
      <c r="F309" s="100"/>
      <c r="G309" s="100"/>
      <c r="H309" s="101"/>
      <c r="I309" s="101"/>
      <c r="J309" s="102"/>
      <c r="K309" s="102"/>
      <c r="L309" s="102"/>
      <c r="M309" s="102"/>
    </row>
    <row r="310" spans="2:13" s="98" customFormat="1" x14ac:dyDescent="0.15">
      <c r="B310" s="100"/>
      <c r="C310" s="100"/>
      <c r="D310" s="100"/>
      <c r="E310" s="100"/>
      <c r="F310" s="100"/>
      <c r="G310" s="100"/>
      <c r="H310" s="101"/>
      <c r="I310" s="101"/>
      <c r="J310" s="102"/>
      <c r="K310" s="102"/>
      <c r="L310" s="102"/>
      <c r="M310" s="102"/>
    </row>
    <row r="311" spans="2:13" s="98" customFormat="1" x14ac:dyDescent="0.15">
      <c r="B311" s="100"/>
      <c r="C311" s="100"/>
      <c r="D311" s="100"/>
      <c r="E311" s="100"/>
      <c r="F311" s="100"/>
      <c r="G311" s="100"/>
      <c r="H311" s="101"/>
      <c r="I311" s="101"/>
      <c r="J311" s="102"/>
      <c r="K311" s="102"/>
      <c r="L311" s="102"/>
      <c r="M311" s="102"/>
    </row>
    <row r="312" spans="2:13" s="98" customFormat="1" x14ac:dyDescent="0.15">
      <c r="B312" s="100"/>
      <c r="C312" s="100"/>
      <c r="D312" s="100"/>
      <c r="E312" s="100"/>
      <c r="F312" s="100"/>
      <c r="G312" s="100"/>
      <c r="H312" s="101"/>
      <c r="I312" s="101"/>
      <c r="J312" s="102"/>
      <c r="K312" s="102"/>
      <c r="L312" s="102"/>
      <c r="M312" s="102"/>
    </row>
    <row r="313" spans="2:13" s="98" customFormat="1" x14ac:dyDescent="0.15">
      <c r="B313" s="100"/>
      <c r="C313" s="100"/>
      <c r="D313" s="100"/>
      <c r="E313" s="100"/>
      <c r="F313" s="100"/>
      <c r="G313" s="100"/>
      <c r="H313" s="101"/>
      <c r="I313" s="101"/>
      <c r="J313" s="102"/>
      <c r="K313" s="102"/>
      <c r="L313" s="102"/>
      <c r="M313" s="102"/>
    </row>
    <row r="314" spans="2:13" s="98" customFormat="1" x14ac:dyDescent="0.15">
      <c r="B314" s="100"/>
      <c r="C314" s="100"/>
      <c r="D314" s="100"/>
      <c r="E314" s="100"/>
      <c r="F314" s="100"/>
      <c r="G314" s="100"/>
      <c r="H314" s="101"/>
      <c r="I314" s="101"/>
      <c r="J314" s="102"/>
      <c r="K314" s="102"/>
      <c r="L314" s="102"/>
      <c r="M314" s="102"/>
    </row>
    <row r="315" spans="2:13" s="98" customFormat="1" x14ac:dyDescent="0.15">
      <c r="B315" s="100"/>
      <c r="C315" s="100"/>
      <c r="D315" s="100"/>
      <c r="E315" s="100"/>
      <c r="F315" s="100"/>
      <c r="G315" s="100"/>
      <c r="H315" s="101"/>
      <c r="I315" s="101"/>
      <c r="J315" s="102"/>
      <c r="K315" s="102"/>
      <c r="L315" s="102"/>
      <c r="M315" s="102"/>
    </row>
    <row r="316" spans="2:13" s="98" customFormat="1" x14ac:dyDescent="0.15">
      <c r="B316" s="100"/>
      <c r="C316" s="100"/>
      <c r="D316" s="100"/>
      <c r="E316" s="100"/>
      <c r="F316" s="100"/>
      <c r="G316" s="100"/>
      <c r="H316" s="101"/>
      <c r="I316" s="101"/>
      <c r="J316" s="102"/>
      <c r="K316" s="102"/>
      <c r="L316" s="102"/>
      <c r="M316" s="102"/>
    </row>
    <row r="317" spans="2:13" s="98" customFormat="1" x14ac:dyDescent="0.15">
      <c r="B317" s="100"/>
      <c r="C317" s="100"/>
      <c r="D317" s="100"/>
      <c r="E317" s="100"/>
      <c r="F317" s="100"/>
      <c r="G317" s="100"/>
      <c r="H317" s="101"/>
      <c r="I317" s="101"/>
      <c r="J317" s="102"/>
      <c r="K317" s="102"/>
      <c r="L317" s="102"/>
      <c r="M317" s="102"/>
    </row>
    <row r="318" spans="2:13" s="98" customFormat="1" x14ac:dyDescent="0.15">
      <c r="B318" s="100"/>
      <c r="C318" s="100"/>
      <c r="D318" s="100"/>
      <c r="E318" s="100"/>
      <c r="F318" s="100"/>
      <c r="G318" s="100"/>
      <c r="H318" s="101"/>
      <c r="I318" s="101"/>
      <c r="J318" s="102"/>
      <c r="K318" s="102"/>
      <c r="L318" s="102"/>
      <c r="M318" s="102"/>
    </row>
    <row r="319" spans="2:13" s="98" customFormat="1" x14ac:dyDescent="0.15">
      <c r="B319" s="100"/>
      <c r="C319" s="100"/>
      <c r="D319" s="100"/>
      <c r="E319" s="100"/>
      <c r="F319" s="100"/>
      <c r="G319" s="100"/>
      <c r="H319" s="101"/>
      <c r="I319" s="101"/>
      <c r="J319" s="102"/>
      <c r="K319" s="102"/>
      <c r="L319" s="102"/>
      <c r="M319" s="102"/>
    </row>
    <row r="320" spans="2:13" s="98" customFormat="1" x14ac:dyDescent="0.15">
      <c r="B320" s="100"/>
      <c r="C320" s="100"/>
      <c r="D320" s="100"/>
      <c r="E320" s="100"/>
      <c r="F320" s="100"/>
      <c r="G320" s="100"/>
      <c r="H320" s="101"/>
      <c r="I320" s="101"/>
      <c r="J320" s="102"/>
      <c r="K320" s="102"/>
      <c r="L320" s="102"/>
      <c r="M320" s="102"/>
    </row>
    <row r="321" spans="2:13" s="98" customFormat="1" x14ac:dyDescent="0.15">
      <c r="B321" s="100"/>
      <c r="C321" s="100"/>
      <c r="D321" s="100"/>
      <c r="E321" s="100"/>
      <c r="F321" s="100"/>
      <c r="G321" s="100"/>
      <c r="H321" s="101"/>
      <c r="I321" s="101"/>
      <c r="J321" s="102"/>
      <c r="K321" s="102"/>
      <c r="L321" s="102"/>
      <c r="M321" s="102"/>
    </row>
    <row r="322" spans="2:13" s="98" customFormat="1" x14ac:dyDescent="0.15">
      <c r="B322" s="100"/>
      <c r="C322" s="100"/>
      <c r="D322" s="100"/>
      <c r="E322" s="100"/>
      <c r="F322" s="100"/>
      <c r="G322" s="100"/>
      <c r="H322" s="101"/>
      <c r="I322" s="101"/>
      <c r="J322" s="102"/>
      <c r="K322" s="102"/>
      <c r="L322" s="102"/>
      <c r="M322" s="102"/>
    </row>
    <row r="323" spans="2:13" s="98" customFormat="1" x14ac:dyDescent="0.15">
      <c r="B323" s="100"/>
      <c r="C323" s="100"/>
      <c r="D323" s="100"/>
      <c r="E323" s="100"/>
      <c r="F323" s="100"/>
      <c r="G323" s="100"/>
      <c r="H323" s="101"/>
      <c r="I323" s="101"/>
      <c r="J323" s="102"/>
      <c r="K323" s="102"/>
      <c r="L323" s="102"/>
      <c r="M323" s="102"/>
    </row>
    <row r="324" spans="2:13" s="98" customFormat="1" x14ac:dyDescent="0.15">
      <c r="B324" s="100"/>
      <c r="C324" s="100"/>
      <c r="D324" s="100"/>
      <c r="E324" s="100"/>
      <c r="F324" s="100"/>
      <c r="G324" s="100"/>
      <c r="H324" s="101"/>
      <c r="I324" s="101"/>
      <c r="J324" s="102"/>
      <c r="K324" s="102"/>
      <c r="L324" s="102"/>
      <c r="M324" s="102"/>
    </row>
    <row r="325" spans="2:13" s="98" customFormat="1" x14ac:dyDescent="0.15">
      <c r="B325" s="100"/>
      <c r="C325" s="100"/>
      <c r="D325" s="100"/>
      <c r="E325" s="100"/>
      <c r="F325" s="100"/>
      <c r="G325" s="100"/>
      <c r="H325" s="101"/>
      <c r="I325" s="101"/>
      <c r="J325" s="102"/>
      <c r="K325" s="102"/>
      <c r="L325" s="102"/>
      <c r="M325" s="102"/>
    </row>
    <row r="326" spans="2:13" s="98" customFormat="1" x14ac:dyDescent="0.15">
      <c r="B326" s="100"/>
      <c r="C326" s="100"/>
      <c r="D326" s="100"/>
      <c r="E326" s="100"/>
      <c r="F326" s="100"/>
      <c r="G326" s="100"/>
      <c r="H326" s="101"/>
      <c r="I326" s="101"/>
      <c r="J326" s="102"/>
      <c r="K326" s="102"/>
      <c r="L326" s="102"/>
      <c r="M326" s="102"/>
    </row>
    <row r="327" spans="2:13" s="98" customFormat="1" x14ac:dyDescent="0.15">
      <c r="B327" s="100"/>
      <c r="C327" s="100"/>
      <c r="D327" s="100"/>
      <c r="E327" s="100"/>
      <c r="F327" s="100"/>
      <c r="G327" s="100"/>
      <c r="H327" s="101"/>
      <c r="I327" s="101"/>
      <c r="J327" s="102"/>
      <c r="K327" s="102"/>
      <c r="L327" s="102"/>
      <c r="M327" s="102"/>
    </row>
    <row r="328" spans="2:13" s="98" customFormat="1" x14ac:dyDescent="0.15">
      <c r="B328" s="100"/>
      <c r="C328" s="100"/>
      <c r="D328" s="100"/>
      <c r="E328" s="100"/>
      <c r="F328" s="100"/>
      <c r="G328" s="100"/>
      <c r="H328" s="101"/>
      <c r="I328" s="101"/>
      <c r="J328" s="102"/>
      <c r="K328" s="102"/>
      <c r="L328" s="102"/>
      <c r="M328" s="102"/>
    </row>
    <row r="329" spans="2:13" s="98" customFormat="1" x14ac:dyDescent="0.15">
      <c r="B329" s="100"/>
      <c r="C329" s="100"/>
      <c r="D329" s="100"/>
      <c r="E329" s="100"/>
      <c r="F329" s="100"/>
      <c r="G329" s="100"/>
      <c r="H329" s="101"/>
      <c r="I329" s="101"/>
      <c r="J329" s="102"/>
      <c r="K329" s="102"/>
      <c r="L329" s="102"/>
      <c r="M329" s="102"/>
    </row>
    <row r="330" spans="2:13" s="98" customFormat="1" x14ac:dyDescent="0.15">
      <c r="B330" s="100"/>
      <c r="C330" s="100"/>
      <c r="D330" s="100"/>
      <c r="E330" s="100"/>
      <c r="F330" s="100"/>
      <c r="G330" s="100"/>
      <c r="H330" s="101"/>
      <c r="I330" s="101"/>
      <c r="J330" s="102"/>
      <c r="K330" s="102"/>
      <c r="L330" s="102"/>
      <c r="M330" s="102"/>
    </row>
    <row r="331" spans="2:13" s="98" customFormat="1" x14ac:dyDescent="0.15">
      <c r="B331" s="100"/>
      <c r="C331" s="100"/>
      <c r="D331" s="100"/>
      <c r="E331" s="100"/>
      <c r="F331" s="100"/>
      <c r="G331" s="100"/>
      <c r="H331" s="101"/>
      <c r="I331" s="101"/>
      <c r="J331" s="102"/>
      <c r="K331" s="102"/>
      <c r="L331" s="102"/>
      <c r="M331" s="102"/>
    </row>
    <row r="332" spans="2:13" s="98" customFormat="1" x14ac:dyDescent="0.15">
      <c r="B332" s="100"/>
      <c r="C332" s="100"/>
      <c r="D332" s="100"/>
      <c r="E332" s="100"/>
      <c r="F332" s="100"/>
      <c r="G332" s="100"/>
      <c r="H332" s="101"/>
      <c r="I332" s="101"/>
      <c r="J332" s="102"/>
      <c r="K332" s="102"/>
      <c r="L332" s="102"/>
      <c r="M332" s="102"/>
    </row>
    <row r="333" spans="2:13" s="98" customFormat="1" x14ac:dyDescent="0.15">
      <c r="B333" s="100"/>
      <c r="C333" s="100"/>
      <c r="D333" s="100"/>
      <c r="E333" s="100"/>
      <c r="F333" s="100"/>
      <c r="G333" s="100"/>
      <c r="H333" s="101"/>
      <c r="I333" s="101"/>
      <c r="J333" s="102"/>
      <c r="K333" s="102"/>
      <c r="L333" s="102"/>
      <c r="M333" s="102"/>
    </row>
    <row r="334" spans="2:13" s="98" customFormat="1" x14ac:dyDescent="0.15">
      <c r="B334" s="100"/>
      <c r="C334" s="100"/>
      <c r="D334" s="100"/>
      <c r="E334" s="100"/>
      <c r="F334" s="100"/>
      <c r="G334" s="100"/>
      <c r="H334" s="101"/>
      <c r="I334" s="101"/>
      <c r="J334" s="102"/>
      <c r="K334" s="102"/>
      <c r="L334" s="102"/>
      <c r="M334" s="102"/>
    </row>
    <row r="335" spans="2:13" s="98" customFormat="1" x14ac:dyDescent="0.15">
      <c r="B335" s="100"/>
      <c r="C335" s="100"/>
      <c r="D335" s="100"/>
      <c r="E335" s="100"/>
      <c r="F335" s="100"/>
      <c r="G335" s="100"/>
      <c r="H335" s="101"/>
      <c r="I335" s="101"/>
      <c r="J335" s="102"/>
      <c r="K335" s="102"/>
      <c r="L335" s="102"/>
      <c r="M335" s="102"/>
    </row>
    <row r="336" spans="2:13" s="98" customFormat="1" x14ac:dyDescent="0.15">
      <c r="B336" s="100"/>
      <c r="C336" s="100"/>
      <c r="D336" s="100"/>
      <c r="E336" s="100"/>
      <c r="F336" s="100"/>
      <c r="G336" s="100"/>
      <c r="H336" s="101"/>
      <c r="I336" s="101"/>
      <c r="J336" s="102"/>
      <c r="K336" s="102"/>
      <c r="L336" s="102"/>
      <c r="M336" s="102"/>
    </row>
    <row r="337" spans="2:13" s="98" customFormat="1" x14ac:dyDescent="0.15">
      <c r="B337" s="100"/>
      <c r="C337" s="100"/>
      <c r="D337" s="100"/>
      <c r="E337" s="100"/>
      <c r="F337" s="100"/>
      <c r="G337" s="100"/>
      <c r="H337" s="101"/>
      <c r="I337" s="101"/>
      <c r="J337" s="102"/>
      <c r="K337" s="102"/>
      <c r="L337" s="102"/>
      <c r="M337" s="102"/>
    </row>
    <row r="338" spans="2:13" s="98" customFormat="1" x14ac:dyDescent="0.15">
      <c r="B338" s="100"/>
      <c r="C338" s="100"/>
      <c r="D338" s="100"/>
      <c r="E338" s="100"/>
      <c r="F338" s="100"/>
      <c r="G338" s="100"/>
      <c r="H338" s="101"/>
      <c r="I338" s="101"/>
      <c r="J338" s="102"/>
      <c r="K338" s="102"/>
      <c r="L338" s="102"/>
      <c r="M338" s="102"/>
    </row>
    <row r="339" spans="2:13" s="98" customFormat="1" x14ac:dyDescent="0.15">
      <c r="B339" s="100"/>
      <c r="C339" s="100"/>
      <c r="D339" s="100"/>
      <c r="E339" s="100"/>
      <c r="F339" s="100"/>
      <c r="G339" s="100"/>
      <c r="H339" s="101"/>
      <c r="I339" s="101"/>
      <c r="J339" s="102"/>
      <c r="K339" s="102"/>
      <c r="L339" s="102"/>
      <c r="M339" s="102"/>
    </row>
    <row r="340" spans="2:13" s="98" customFormat="1" x14ac:dyDescent="0.15">
      <c r="B340" s="100"/>
      <c r="C340" s="100"/>
      <c r="D340" s="100"/>
      <c r="E340" s="100"/>
      <c r="F340" s="100"/>
      <c r="G340" s="100"/>
      <c r="H340" s="101"/>
      <c r="I340" s="101"/>
      <c r="J340" s="102"/>
      <c r="K340" s="102"/>
      <c r="L340" s="102"/>
      <c r="M340" s="102"/>
    </row>
    <row r="341" spans="2:13" s="98" customFormat="1" x14ac:dyDescent="0.15">
      <c r="B341" s="100"/>
      <c r="C341" s="100"/>
      <c r="D341" s="100"/>
      <c r="E341" s="100"/>
      <c r="F341" s="100"/>
      <c r="G341" s="100"/>
      <c r="H341" s="101"/>
      <c r="I341" s="101"/>
      <c r="J341" s="102"/>
      <c r="K341" s="102"/>
      <c r="L341" s="102"/>
      <c r="M341" s="102"/>
    </row>
    <row r="342" spans="2:13" s="98" customFormat="1" x14ac:dyDescent="0.15">
      <c r="B342" s="100"/>
      <c r="C342" s="100"/>
      <c r="D342" s="100"/>
      <c r="E342" s="100"/>
      <c r="F342" s="100"/>
      <c r="G342" s="100"/>
      <c r="H342" s="101"/>
      <c r="I342" s="101"/>
      <c r="J342" s="102"/>
      <c r="K342" s="102"/>
      <c r="L342" s="102"/>
      <c r="M342" s="102"/>
    </row>
    <row r="343" spans="2:13" s="98" customFormat="1" x14ac:dyDescent="0.15">
      <c r="B343" s="100"/>
      <c r="C343" s="100"/>
      <c r="D343" s="100"/>
      <c r="E343" s="100"/>
      <c r="F343" s="100"/>
      <c r="G343" s="100"/>
      <c r="H343" s="101"/>
      <c r="I343" s="101"/>
      <c r="J343" s="102"/>
      <c r="K343" s="102"/>
      <c r="L343" s="102"/>
      <c r="M343" s="102"/>
    </row>
    <row r="344" spans="2:13" s="98" customFormat="1" x14ac:dyDescent="0.15">
      <c r="B344" s="100"/>
      <c r="C344" s="100"/>
      <c r="D344" s="100"/>
      <c r="E344" s="100"/>
      <c r="F344" s="100"/>
      <c r="G344" s="100"/>
      <c r="H344" s="101"/>
      <c r="I344" s="101"/>
      <c r="J344" s="102"/>
      <c r="K344" s="102"/>
      <c r="L344" s="102"/>
      <c r="M344" s="102"/>
    </row>
    <row r="345" spans="2:13" s="98" customFormat="1" x14ac:dyDescent="0.15">
      <c r="B345" s="100"/>
      <c r="C345" s="100"/>
      <c r="D345" s="100"/>
      <c r="E345" s="100"/>
      <c r="F345" s="100"/>
      <c r="G345" s="100"/>
      <c r="H345" s="101"/>
      <c r="I345" s="101"/>
      <c r="J345" s="102"/>
      <c r="K345" s="102"/>
      <c r="L345" s="102"/>
      <c r="M345" s="102"/>
    </row>
    <row r="346" spans="2:13" s="98" customFormat="1" x14ac:dyDescent="0.15">
      <c r="B346" s="100"/>
      <c r="C346" s="100"/>
      <c r="D346" s="100"/>
      <c r="E346" s="100"/>
      <c r="F346" s="100"/>
      <c r="G346" s="100"/>
      <c r="H346" s="101"/>
      <c r="I346" s="101"/>
      <c r="J346" s="102"/>
      <c r="K346" s="102"/>
      <c r="L346" s="102"/>
      <c r="M346" s="102"/>
    </row>
    <row r="347" spans="2:13" s="98" customFormat="1" x14ac:dyDescent="0.15">
      <c r="B347" s="100"/>
      <c r="C347" s="100"/>
      <c r="D347" s="100"/>
      <c r="E347" s="100"/>
      <c r="F347" s="100"/>
      <c r="G347" s="100"/>
      <c r="H347" s="101"/>
      <c r="I347" s="101"/>
      <c r="J347" s="102"/>
      <c r="K347" s="102"/>
      <c r="L347" s="102"/>
      <c r="M347" s="102"/>
    </row>
    <row r="348" spans="2:13" s="98" customFormat="1" x14ac:dyDescent="0.15">
      <c r="B348" s="100"/>
      <c r="C348" s="100"/>
      <c r="D348" s="100"/>
      <c r="E348" s="100"/>
      <c r="F348" s="100"/>
      <c r="G348" s="100"/>
      <c r="H348" s="101"/>
      <c r="I348" s="101"/>
      <c r="J348" s="102"/>
      <c r="K348" s="102"/>
      <c r="L348" s="102"/>
      <c r="M348" s="102"/>
    </row>
    <row r="349" spans="2:13" s="98" customFormat="1" x14ac:dyDescent="0.15">
      <c r="B349" s="100"/>
      <c r="C349" s="100"/>
      <c r="D349" s="100"/>
      <c r="E349" s="100"/>
      <c r="F349" s="100"/>
      <c r="G349" s="100"/>
      <c r="H349" s="101"/>
      <c r="I349" s="101"/>
      <c r="J349" s="102"/>
      <c r="K349" s="102"/>
      <c r="L349" s="102"/>
      <c r="M349" s="102"/>
    </row>
    <row r="350" spans="2:13" s="98" customFormat="1" x14ac:dyDescent="0.15">
      <c r="B350" s="100"/>
      <c r="C350" s="100"/>
      <c r="D350" s="100"/>
      <c r="E350" s="100"/>
      <c r="F350" s="100"/>
      <c r="G350" s="100"/>
      <c r="H350" s="101"/>
      <c r="I350" s="101"/>
      <c r="J350" s="102"/>
      <c r="K350" s="102"/>
      <c r="L350" s="102"/>
      <c r="M350" s="102"/>
    </row>
    <row r="351" spans="2:13" s="98" customFormat="1" x14ac:dyDescent="0.15">
      <c r="B351" s="100"/>
      <c r="C351" s="100"/>
      <c r="D351" s="100"/>
      <c r="E351" s="100"/>
      <c r="F351" s="100"/>
      <c r="G351" s="100"/>
      <c r="H351" s="101"/>
      <c r="I351" s="101"/>
      <c r="J351" s="102"/>
      <c r="K351" s="102"/>
      <c r="L351" s="102"/>
      <c r="M351" s="102"/>
    </row>
    <row r="352" spans="2:13" s="98" customFormat="1" x14ac:dyDescent="0.15">
      <c r="B352" s="100"/>
      <c r="C352" s="100"/>
      <c r="D352" s="100"/>
      <c r="E352" s="100"/>
      <c r="F352" s="100"/>
      <c r="G352" s="100"/>
      <c r="H352" s="101"/>
      <c r="I352" s="101"/>
      <c r="J352" s="102"/>
      <c r="K352" s="102"/>
      <c r="L352" s="102"/>
      <c r="M352" s="102"/>
    </row>
    <row r="353" spans="2:13" s="98" customFormat="1" x14ac:dyDescent="0.15">
      <c r="B353" s="100"/>
      <c r="C353" s="100"/>
      <c r="D353" s="100"/>
      <c r="E353" s="100"/>
      <c r="F353" s="100"/>
      <c r="G353" s="100"/>
      <c r="H353" s="101"/>
      <c r="I353" s="101"/>
      <c r="J353" s="102"/>
      <c r="K353" s="102"/>
      <c r="L353" s="102"/>
      <c r="M353" s="102"/>
    </row>
    <row r="354" spans="2:13" s="98" customFormat="1" x14ac:dyDescent="0.15">
      <c r="B354" s="100"/>
      <c r="C354" s="100"/>
      <c r="D354" s="100"/>
      <c r="E354" s="100"/>
      <c r="F354" s="100"/>
      <c r="G354" s="100"/>
      <c r="H354" s="101"/>
      <c r="I354" s="101"/>
      <c r="J354" s="102"/>
      <c r="K354" s="102"/>
      <c r="L354" s="102"/>
      <c r="M354" s="102"/>
    </row>
    <row r="355" spans="2:13" s="98" customFormat="1" x14ac:dyDescent="0.15">
      <c r="B355" s="100"/>
      <c r="C355" s="100"/>
      <c r="D355" s="100"/>
      <c r="E355" s="100"/>
      <c r="F355" s="100"/>
      <c r="G355" s="100"/>
      <c r="H355" s="101"/>
      <c r="I355" s="101"/>
      <c r="J355" s="102"/>
      <c r="K355" s="102"/>
      <c r="L355" s="102"/>
      <c r="M355" s="102"/>
    </row>
    <row r="356" spans="2:13" s="98" customFormat="1" x14ac:dyDescent="0.15">
      <c r="B356" s="100"/>
      <c r="C356" s="100"/>
      <c r="D356" s="100"/>
      <c r="E356" s="100"/>
      <c r="F356" s="100"/>
      <c r="G356" s="100"/>
      <c r="H356" s="101"/>
      <c r="I356" s="101"/>
      <c r="J356" s="102"/>
      <c r="K356" s="102"/>
      <c r="L356" s="102"/>
      <c r="M356" s="102"/>
    </row>
    <row r="357" spans="2:13" s="98" customFormat="1" x14ac:dyDescent="0.15">
      <c r="B357" s="100"/>
      <c r="C357" s="100"/>
      <c r="D357" s="100"/>
      <c r="E357" s="100"/>
      <c r="F357" s="100"/>
      <c r="G357" s="100"/>
      <c r="H357" s="101"/>
      <c r="I357" s="101"/>
      <c r="J357" s="102"/>
      <c r="K357" s="102"/>
      <c r="L357" s="102"/>
      <c r="M357" s="102"/>
    </row>
    <row r="358" spans="2:13" s="98" customFormat="1" x14ac:dyDescent="0.15">
      <c r="B358" s="100"/>
      <c r="C358" s="100"/>
      <c r="D358" s="100"/>
      <c r="E358" s="100"/>
      <c r="F358" s="100"/>
      <c r="G358" s="100"/>
      <c r="H358" s="101"/>
      <c r="I358" s="101"/>
      <c r="J358" s="102"/>
      <c r="K358" s="102"/>
      <c r="L358" s="102"/>
      <c r="M358" s="102"/>
    </row>
    <row r="359" spans="2:13" s="98" customFormat="1" x14ac:dyDescent="0.15">
      <c r="B359" s="100"/>
      <c r="C359" s="100"/>
      <c r="D359" s="100"/>
      <c r="E359" s="100"/>
      <c r="F359" s="100"/>
      <c r="G359" s="100"/>
      <c r="H359" s="101"/>
      <c r="I359" s="101"/>
      <c r="J359" s="102"/>
      <c r="K359" s="102"/>
      <c r="L359" s="102"/>
      <c r="M359" s="102"/>
    </row>
    <row r="360" spans="2:13" s="98" customFormat="1" x14ac:dyDescent="0.15">
      <c r="B360" s="100"/>
      <c r="C360" s="100"/>
      <c r="D360" s="100"/>
      <c r="E360" s="100"/>
      <c r="F360" s="100"/>
      <c r="G360" s="100"/>
      <c r="H360" s="101"/>
      <c r="I360" s="101"/>
      <c r="J360" s="102"/>
      <c r="K360" s="102"/>
      <c r="L360" s="102"/>
      <c r="M360" s="102"/>
    </row>
    <row r="361" spans="2:13" s="98" customFormat="1" x14ac:dyDescent="0.15">
      <c r="B361" s="100"/>
      <c r="C361" s="100"/>
      <c r="D361" s="100"/>
      <c r="E361" s="100"/>
      <c r="F361" s="100"/>
      <c r="G361" s="100"/>
      <c r="H361" s="101"/>
      <c r="I361" s="101"/>
      <c r="J361" s="102"/>
      <c r="K361" s="102"/>
      <c r="L361" s="102"/>
      <c r="M361" s="102"/>
    </row>
    <row r="362" spans="2:13" s="98" customFormat="1" x14ac:dyDescent="0.15">
      <c r="B362" s="100"/>
      <c r="C362" s="100"/>
      <c r="D362" s="100"/>
      <c r="E362" s="100"/>
      <c r="F362" s="100"/>
      <c r="G362" s="100"/>
      <c r="H362" s="101"/>
      <c r="I362" s="101"/>
      <c r="J362" s="102"/>
      <c r="K362" s="102"/>
      <c r="L362" s="102"/>
      <c r="M362" s="102"/>
    </row>
    <row r="363" spans="2:13" s="98" customFormat="1" x14ac:dyDescent="0.15">
      <c r="B363" s="100"/>
      <c r="C363" s="100"/>
      <c r="D363" s="100"/>
      <c r="E363" s="100"/>
      <c r="F363" s="100"/>
      <c r="G363" s="100"/>
      <c r="H363" s="101"/>
      <c r="I363" s="101"/>
      <c r="J363" s="102"/>
      <c r="K363" s="102"/>
      <c r="L363" s="102"/>
      <c r="M363" s="102"/>
    </row>
    <row r="364" spans="2:13" s="98" customFormat="1" x14ac:dyDescent="0.15">
      <c r="B364" s="100"/>
      <c r="C364" s="100"/>
      <c r="D364" s="100"/>
      <c r="E364" s="100"/>
      <c r="F364" s="100"/>
      <c r="G364" s="100"/>
      <c r="H364" s="101"/>
      <c r="I364" s="101"/>
      <c r="J364" s="102"/>
      <c r="K364" s="102"/>
      <c r="L364" s="102"/>
      <c r="M364" s="102"/>
    </row>
    <row r="365" spans="2:13" s="98" customFormat="1" x14ac:dyDescent="0.15">
      <c r="B365" s="100"/>
      <c r="C365" s="100"/>
      <c r="D365" s="100"/>
      <c r="E365" s="100"/>
      <c r="F365" s="100"/>
      <c r="G365" s="100"/>
      <c r="H365" s="101"/>
      <c r="I365" s="101"/>
      <c r="J365" s="102"/>
      <c r="K365" s="102"/>
      <c r="L365" s="102"/>
      <c r="M365" s="102"/>
    </row>
    <row r="366" spans="2:13" s="98" customFormat="1" x14ac:dyDescent="0.15">
      <c r="B366" s="100"/>
      <c r="C366" s="100"/>
      <c r="D366" s="100"/>
      <c r="E366" s="100"/>
      <c r="F366" s="100"/>
      <c r="G366" s="100"/>
      <c r="H366" s="101"/>
      <c r="I366" s="101"/>
      <c r="J366" s="102"/>
      <c r="K366" s="102"/>
      <c r="L366" s="102"/>
      <c r="M366" s="102"/>
    </row>
    <row r="367" spans="2:13" s="98" customFormat="1" x14ac:dyDescent="0.15">
      <c r="B367" s="100"/>
      <c r="C367" s="100"/>
      <c r="D367" s="100"/>
      <c r="E367" s="100"/>
      <c r="F367" s="100"/>
      <c r="G367" s="100"/>
      <c r="H367" s="101"/>
      <c r="I367" s="101"/>
      <c r="J367" s="102"/>
      <c r="K367" s="102"/>
      <c r="L367" s="102"/>
      <c r="M367" s="102"/>
    </row>
    <row r="368" spans="2:13" s="98" customFormat="1" x14ac:dyDescent="0.15">
      <c r="B368" s="100"/>
      <c r="C368" s="100"/>
      <c r="D368" s="100"/>
      <c r="E368" s="100"/>
      <c r="F368" s="100"/>
      <c r="G368" s="100"/>
      <c r="H368" s="101"/>
      <c r="I368" s="101"/>
      <c r="J368" s="102"/>
      <c r="K368" s="102"/>
      <c r="L368" s="102"/>
      <c r="M368" s="102"/>
    </row>
    <row r="369" spans="2:13" s="98" customFormat="1" x14ac:dyDescent="0.15">
      <c r="B369" s="100"/>
      <c r="C369" s="100"/>
      <c r="D369" s="100"/>
      <c r="E369" s="100"/>
      <c r="F369" s="100"/>
      <c r="G369" s="100"/>
      <c r="H369" s="101"/>
      <c r="I369" s="101"/>
      <c r="J369" s="102"/>
      <c r="K369" s="102"/>
      <c r="L369" s="102"/>
      <c r="M369" s="102"/>
    </row>
    <row r="370" spans="2:13" s="98" customFormat="1" x14ac:dyDescent="0.15">
      <c r="B370" s="100"/>
      <c r="C370" s="100"/>
      <c r="D370" s="100"/>
      <c r="E370" s="100"/>
      <c r="F370" s="100"/>
      <c r="G370" s="100"/>
      <c r="H370" s="101"/>
      <c r="I370" s="101"/>
      <c r="J370" s="102"/>
      <c r="K370" s="102"/>
      <c r="L370" s="102"/>
      <c r="M370" s="102"/>
    </row>
    <row r="371" spans="2:13" s="98" customFormat="1" x14ac:dyDescent="0.15">
      <c r="B371" s="100"/>
      <c r="C371" s="100"/>
      <c r="D371" s="100"/>
      <c r="E371" s="100"/>
      <c r="F371" s="100"/>
      <c r="G371" s="100"/>
      <c r="H371" s="101"/>
      <c r="I371" s="101"/>
      <c r="J371" s="102"/>
      <c r="K371" s="102"/>
      <c r="L371" s="102"/>
      <c r="M371" s="102"/>
    </row>
    <row r="372" spans="2:13" s="98" customFormat="1" x14ac:dyDescent="0.15">
      <c r="B372" s="100"/>
      <c r="C372" s="100"/>
      <c r="D372" s="100"/>
      <c r="E372" s="100"/>
      <c r="F372" s="100"/>
      <c r="G372" s="100"/>
      <c r="H372" s="101"/>
      <c r="I372" s="101"/>
      <c r="J372" s="102"/>
      <c r="K372" s="102"/>
      <c r="L372" s="102"/>
      <c r="M372" s="102"/>
    </row>
    <row r="373" spans="2:13" s="98" customFormat="1" x14ac:dyDescent="0.15">
      <c r="B373" s="100"/>
      <c r="C373" s="100"/>
      <c r="D373" s="100"/>
      <c r="E373" s="100"/>
      <c r="F373" s="100"/>
      <c r="G373" s="100"/>
      <c r="H373" s="101"/>
      <c r="I373" s="101"/>
      <c r="J373" s="102"/>
      <c r="K373" s="102"/>
      <c r="L373" s="102"/>
      <c r="M373" s="102"/>
    </row>
    <row r="374" spans="2:13" s="98" customFormat="1" x14ac:dyDescent="0.15">
      <c r="B374" s="100"/>
      <c r="C374" s="100"/>
      <c r="D374" s="100"/>
      <c r="E374" s="100"/>
      <c r="F374" s="100"/>
      <c r="G374" s="100"/>
      <c r="H374" s="101"/>
      <c r="I374" s="101"/>
      <c r="J374" s="102"/>
      <c r="K374" s="102"/>
      <c r="L374" s="102"/>
      <c r="M374" s="102"/>
    </row>
    <row r="375" spans="2:13" s="98" customFormat="1" x14ac:dyDescent="0.15">
      <c r="B375" s="100"/>
      <c r="C375" s="100"/>
      <c r="D375" s="100"/>
      <c r="E375" s="100"/>
      <c r="F375" s="100"/>
      <c r="G375" s="100"/>
      <c r="H375" s="101"/>
      <c r="I375" s="101"/>
      <c r="J375" s="102"/>
      <c r="K375" s="102"/>
      <c r="L375" s="102"/>
      <c r="M375" s="102"/>
    </row>
    <row r="376" spans="2:13" s="98" customFormat="1" x14ac:dyDescent="0.15">
      <c r="B376" s="100"/>
      <c r="C376" s="100"/>
      <c r="D376" s="100"/>
      <c r="E376" s="100"/>
      <c r="F376" s="100"/>
      <c r="G376" s="100"/>
      <c r="H376" s="101"/>
      <c r="I376" s="101"/>
      <c r="J376" s="102"/>
      <c r="K376" s="102"/>
      <c r="L376" s="102"/>
      <c r="M376" s="102"/>
    </row>
    <row r="377" spans="2:13" s="98" customFormat="1" x14ac:dyDescent="0.15">
      <c r="B377" s="100"/>
      <c r="C377" s="100"/>
      <c r="D377" s="100"/>
      <c r="E377" s="100"/>
      <c r="F377" s="100"/>
      <c r="G377" s="100"/>
      <c r="H377" s="101"/>
      <c r="I377" s="101"/>
      <c r="J377" s="102"/>
      <c r="K377" s="102"/>
      <c r="L377" s="102"/>
      <c r="M377" s="102"/>
    </row>
    <row r="378" spans="2:13" s="98" customFormat="1" x14ac:dyDescent="0.15">
      <c r="B378" s="100"/>
      <c r="C378" s="100"/>
      <c r="D378" s="100"/>
      <c r="E378" s="100"/>
      <c r="F378" s="100"/>
      <c r="G378" s="100"/>
      <c r="H378" s="101"/>
      <c r="I378" s="101"/>
      <c r="J378" s="102"/>
      <c r="K378" s="102"/>
      <c r="L378" s="102"/>
      <c r="M378" s="102"/>
    </row>
    <row r="379" spans="2:13" s="98" customFormat="1" x14ac:dyDescent="0.15">
      <c r="B379" s="100"/>
      <c r="C379" s="100"/>
      <c r="D379" s="100"/>
      <c r="E379" s="100"/>
      <c r="F379" s="100"/>
      <c r="G379" s="100"/>
      <c r="H379" s="101"/>
      <c r="I379" s="101"/>
      <c r="J379" s="102"/>
      <c r="K379" s="102"/>
      <c r="L379" s="102"/>
      <c r="M379" s="102"/>
    </row>
    <row r="380" spans="2:13" s="98" customFormat="1" x14ac:dyDescent="0.15">
      <c r="B380" s="100"/>
      <c r="C380" s="100"/>
      <c r="D380" s="100"/>
      <c r="E380" s="100"/>
      <c r="F380" s="100"/>
      <c r="G380" s="100"/>
      <c r="H380" s="101"/>
      <c r="I380" s="101"/>
      <c r="J380" s="102"/>
      <c r="K380" s="102"/>
      <c r="L380" s="102"/>
      <c r="M380" s="102"/>
    </row>
    <row r="381" spans="2:13" s="98" customFormat="1" x14ac:dyDescent="0.15">
      <c r="B381" s="100"/>
      <c r="C381" s="100"/>
      <c r="D381" s="100"/>
      <c r="E381" s="100"/>
      <c r="F381" s="100"/>
      <c r="G381" s="100"/>
      <c r="H381" s="101"/>
      <c r="I381" s="101"/>
      <c r="J381" s="102"/>
      <c r="K381" s="102"/>
      <c r="L381" s="102"/>
      <c r="M381" s="102"/>
    </row>
    <row r="382" spans="2:13" s="98" customFormat="1" x14ac:dyDescent="0.15">
      <c r="B382" s="100"/>
      <c r="C382" s="100"/>
      <c r="D382" s="100"/>
      <c r="E382" s="100"/>
      <c r="F382" s="100"/>
      <c r="G382" s="100"/>
      <c r="H382" s="101"/>
      <c r="I382" s="101"/>
      <c r="J382" s="102"/>
      <c r="K382" s="102"/>
      <c r="L382" s="102"/>
      <c r="M382" s="102"/>
    </row>
    <row r="383" spans="2:13" s="98" customFormat="1" x14ac:dyDescent="0.15">
      <c r="B383" s="100"/>
      <c r="C383" s="100"/>
      <c r="D383" s="100"/>
      <c r="E383" s="100"/>
      <c r="F383" s="100"/>
      <c r="G383" s="100"/>
      <c r="H383" s="101"/>
      <c r="I383" s="101"/>
      <c r="J383" s="102"/>
      <c r="K383" s="102"/>
      <c r="L383" s="102"/>
      <c r="M383" s="102"/>
    </row>
    <row r="384" spans="2:13" s="98" customFormat="1" x14ac:dyDescent="0.15">
      <c r="B384" s="100"/>
      <c r="C384" s="100"/>
      <c r="D384" s="100"/>
      <c r="E384" s="100"/>
      <c r="F384" s="100"/>
      <c r="G384" s="100"/>
      <c r="H384" s="101"/>
      <c r="I384" s="101"/>
      <c r="J384" s="102"/>
      <c r="K384" s="102"/>
      <c r="L384" s="102"/>
      <c r="M384" s="102"/>
    </row>
    <row r="385" spans="2:13" s="98" customFormat="1" x14ac:dyDescent="0.15">
      <c r="B385" s="100"/>
      <c r="C385" s="100"/>
      <c r="D385" s="100"/>
      <c r="E385" s="100"/>
      <c r="F385" s="100"/>
      <c r="G385" s="100"/>
      <c r="H385" s="101"/>
      <c r="I385" s="101"/>
      <c r="J385" s="102"/>
      <c r="K385" s="102"/>
      <c r="L385" s="102"/>
      <c r="M385" s="102"/>
    </row>
    <row r="386" spans="2:13" s="98" customFormat="1" x14ac:dyDescent="0.15">
      <c r="B386" s="100"/>
      <c r="C386" s="100"/>
      <c r="D386" s="100"/>
      <c r="E386" s="100"/>
      <c r="F386" s="100"/>
      <c r="G386" s="100"/>
      <c r="H386" s="101"/>
      <c r="I386" s="101"/>
      <c r="J386" s="102"/>
      <c r="K386" s="102"/>
      <c r="L386" s="102"/>
      <c r="M386" s="102"/>
    </row>
    <row r="387" spans="2:13" s="98" customFormat="1" x14ac:dyDescent="0.15">
      <c r="B387" s="100"/>
      <c r="C387" s="100"/>
      <c r="D387" s="100"/>
      <c r="E387" s="100"/>
      <c r="F387" s="100"/>
      <c r="G387" s="100"/>
      <c r="H387" s="101"/>
      <c r="I387" s="101"/>
      <c r="J387" s="102"/>
      <c r="K387" s="102"/>
      <c r="L387" s="102"/>
      <c r="M387" s="102"/>
    </row>
    <row r="388" spans="2:13" s="98" customFormat="1" x14ac:dyDescent="0.15">
      <c r="B388" s="100"/>
      <c r="C388" s="100"/>
      <c r="D388" s="100"/>
      <c r="E388" s="100"/>
      <c r="F388" s="100"/>
      <c r="G388" s="100"/>
      <c r="H388" s="101"/>
      <c r="I388" s="101"/>
      <c r="J388" s="102"/>
      <c r="K388" s="102"/>
      <c r="L388" s="102"/>
      <c r="M388" s="102"/>
    </row>
    <row r="389" spans="2:13" s="98" customFormat="1" x14ac:dyDescent="0.15">
      <c r="B389" s="100"/>
      <c r="C389" s="100"/>
      <c r="D389" s="100"/>
      <c r="E389" s="100"/>
      <c r="F389" s="100"/>
      <c r="G389" s="100"/>
      <c r="H389" s="101"/>
      <c r="I389" s="101"/>
      <c r="J389" s="102"/>
      <c r="K389" s="102"/>
      <c r="L389" s="102"/>
      <c r="M389" s="102"/>
    </row>
    <row r="390" spans="2:13" s="98" customFormat="1" x14ac:dyDescent="0.15">
      <c r="B390" s="100"/>
      <c r="C390" s="100"/>
      <c r="D390" s="100"/>
      <c r="E390" s="100"/>
      <c r="F390" s="100"/>
      <c r="G390" s="100"/>
      <c r="H390" s="101"/>
      <c r="I390" s="101"/>
      <c r="J390" s="102"/>
      <c r="K390" s="102"/>
      <c r="L390" s="102"/>
      <c r="M390" s="102"/>
    </row>
    <row r="391" spans="2:13" s="98" customFormat="1" x14ac:dyDescent="0.15">
      <c r="B391" s="100"/>
      <c r="C391" s="100"/>
      <c r="D391" s="100"/>
      <c r="E391" s="100"/>
      <c r="F391" s="100"/>
      <c r="G391" s="100"/>
      <c r="H391" s="101"/>
      <c r="I391" s="101"/>
      <c r="J391" s="102"/>
      <c r="K391" s="102"/>
      <c r="L391" s="102"/>
      <c r="M391" s="102"/>
    </row>
    <row r="392" spans="2:13" s="98" customFormat="1" x14ac:dyDescent="0.15">
      <c r="B392" s="100"/>
      <c r="C392" s="100"/>
      <c r="D392" s="100"/>
      <c r="E392" s="100"/>
      <c r="F392" s="100"/>
      <c r="G392" s="100"/>
      <c r="H392" s="101"/>
      <c r="I392" s="101"/>
      <c r="J392" s="102"/>
      <c r="K392" s="102"/>
      <c r="L392" s="102"/>
      <c r="M392" s="102"/>
    </row>
    <row r="393" spans="2:13" s="98" customFormat="1" x14ac:dyDescent="0.15">
      <c r="B393" s="100"/>
      <c r="C393" s="100"/>
      <c r="D393" s="100"/>
      <c r="E393" s="100"/>
      <c r="F393" s="100"/>
      <c r="G393" s="100"/>
      <c r="H393" s="101"/>
      <c r="I393" s="101"/>
      <c r="J393" s="102"/>
      <c r="K393" s="102"/>
      <c r="L393" s="102"/>
      <c r="M393" s="102"/>
    </row>
    <row r="394" spans="2:13" s="98" customFormat="1" x14ac:dyDescent="0.15">
      <c r="B394" s="100"/>
      <c r="C394" s="100"/>
      <c r="D394" s="100"/>
      <c r="E394" s="100"/>
      <c r="F394" s="100"/>
      <c r="G394" s="100"/>
      <c r="H394" s="101"/>
      <c r="I394" s="101"/>
      <c r="J394" s="102"/>
      <c r="K394" s="102"/>
      <c r="L394" s="102"/>
      <c r="M394" s="102"/>
    </row>
    <row r="395" spans="2:13" s="98" customFormat="1" x14ac:dyDescent="0.15">
      <c r="B395" s="100"/>
      <c r="C395" s="100"/>
      <c r="D395" s="100"/>
      <c r="E395" s="100"/>
      <c r="F395" s="100"/>
      <c r="G395" s="100"/>
      <c r="H395" s="101"/>
      <c r="I395" s="101"/>
      <c r="J395" s="102"/>
      <c r="K395" s="102"/>
      <c r="L395" s="102"/>
      <c r="M395" s="102"/>
    </row>
    <row r="396" spans="2:13" s="98" customFormat="1" x14ac:dyDescent="0.15">
      <c r="B396" s="100"/>
      <c r="C396" s="100"/>
      <c r="D396" s="100"/>
      <c r="E396" s="100"/>
      <c r="F396" s="100"/>
      <c r="G396" s="100"/>
      <c r="H396" s="101"/>
      <c r="I396" s="101"/>
      <c r="J396" s="102"/>
      <c r="K396" s="102"/>
      <c r="L396" s="102"/>
      <c r="M396" s="102"/>
    </row>
    <row r="397" spans="2:13" s="98" customFormat="1" x14ac:dyDescent="0.15">
      <c r="B397" s="100"/>
      <c r="C397" s="100"/>
      <c r="D397" s="100"/>
      <c r="E397" s="100"/>
      <c r="F397" s="100"/>
      <c r="G397" s="100"/>
      <c r="H397" s="101"/>
      <c r="I397" s="101"/>
      <c r="J397" s="102"/>
      <c r="K397" s="102"/>
      <c r="L397" s="102"/>
      <c r="M397" s="102"/>
    </row>
    <row r="398" spans="2:13" s="98" customFormat="1" x14ac:dyDescent="0.15">
      <c r="B398" s="100"/>
      <c r="C398" s="100"/>
      <c r="D398" s="100"/>
      <c r="E398" s="100"/>
      <c r="F398" s="100"/>
      <c r="G398" s="100"/>
      <c r="H398" s="101"/>
      <c r="I398" s="101"/>
      <c r="J398" s="102"/>
      <c r="K398" s="102"/>
      <c r="L398" s="102"/>
      <c r="M398" s="102"/>
    </row>
    <row r="399" spans="2:13" s="98" customFormat="1" x14ac:dyDescent="0.15">
      <c r="B399" s="100"/>
      <c r="C399" s="100"/>
      <c r="D399" s="100"/>
      <c r="E399" s="100"/>
      <c r="F399" s="100"/>
      <c r="G399" s="100"/>
      <c r="H399" s="101"/>
      <c r="I399" s="101"/>
      <c r="J399" s="102"/>
      <c r="K399" s="102"/>
      <c r="L399" s="102"/>
      <c r="M399" s="102"/>
    </row>
    <row r="400" spans="2:13" s="98" customFormat="1" x14ac:dyDescent="0.15">
      <c r="B400" s="100"/>
      <c r="C400" s="100"/>
      <c r="D400" s="100"/>
      <c r="E400" s="100"/>
      <c r="F400" s="100"/>
      <c r="G400" s="100"/>
      <c r="H400" s="101"/>
      <c r="I400" s="101"/>
      <c r="J400" s="102"/>
      <c r="K400" s="102"/>
      <c r="L400" s="102"/>
      <c r="M400" s="102"/>
    </row>
    <row r="401" spans="2:13" s="98" customFormat="1" x14ac:dyDescent="0.15">
      <c r="B401" s="100"/>
      <c r="C401" s="100"/>
      <c r="D401" s="100"/>
      <c r="E401" s="100"/>
      <c r="F401" s="100"/>
      <c r="G401" s="100"/>
      <c r="H401" s="101"/>
      <c r="I401" s="101"/>
      <c r="J401" s="102"/>
      <c r="K401" s="102"/>
      <c r="L401" s="102"/>
      <c r="M401" s="102"/>
    </row>
    <row r="402" spans="2:13" s="98" customFormat="1" x14ac:dyDescent="0.15">
      <c r="B402" s="100"/>
      <c r="C402" s="100"/>
      <c r="D402" s="100"/>
      <c r="E402" s="100"/>
      <c r="F402" s="100"/>
      <c r="G402" s="100"/>
      <c r="H402" s="101"/>
      <c r="I402" s="101"/>
      <c r="J402" s="102"/>
      <c r="K402" s="102"/>
      <c r="L402" s="102"/>
      <c r="M402" s="102"/>
    </row>
    <row r="403" spans="2:13" s="98" customFormat="1" x14ac:dyDescent="0.15">
      <c r="B403" s="100"/>
      <c r="C403" s="100"/>
      <c r="D403" s="100"/>
      <c r="E403" s="100"/>
      <c r="F403" s="100"/>
      <c r="G403" s="100"/>
      <c r="H403" s="101"/>
      <c r="I403" s="101"/>
      <c r="J403" s="102"/>
      <c r="K403" s="102"/>
      <c r="L403" s="102"/>
      <c r="M403" s="102"/>
    </row>
    <row r="404" spans="2:13" s="98" customFormat="1" x14ac:dyDescent="0.15">
      <c r="B404" s="100"/>
      <c r="C404" s="100"/>
      <c r="D404" s="100"/>
      <c r="E404" s="100"/>
      <c r="F404" s="100"/>
      <c r="G404" s="100"/>
      <c r="H404" s="101"/>
      <c r="I404" s="101"/>
      <c r="J404" s="102"/>
      <c r="K404" s="102"/>
      <c r="L404" s="102"/>
      <c r="M404" s="102"/>
    </row>
    <row r="405" spans="2:13" s="98" customFormat="1" x14ac:dyDescent="0.15">
      <c r="B405" s="100"/>
      <c r="C405" s="100"/>
      <c r="D405" s="100"/>
      <c r="E405" s="100"/>
      <c r="F405" s="100"/>
      <c r="G405" s="100"/>
      <c r="H405" s="101"/>
      <c r="I405" s="101"/>
      <c r="J405" s="102"/>
      <c r="K405" s="102"/>
      <c r="L405" s="102"/>
      <c r="M405" s="102"/>
    </row>
    <row r="406" spans="2:13" s="98" customFormat="1" x14ac:dyDescent="0.15">
      <c r="B406" s="100"/>
      <c r="C406" s="100"/>
      <c r="D406" s="100"/>
      <c r="E406" s="100"/>
      <c r="F406" s="100"/>
      <c r="G406" s="100"/>
      <c r="H406" s="101"/>
      <c r="I406" s="101"/>
      <c r="J406" s="102"/>
      <c r="K406" s="102"/>
      <c r="L406" s="102"/>
      <c r="M406" s="102"/>
    </row>
    <row r="407" spans="2:13" s="98" customFormat="1" x14ac:dyDescent="0.15">
      <c r="B407" s="100"/>
      <c r="C407" s="100"/>
      <c r="D407" s="100"/>
      <c r="E407" s="100"/>
      <c r="F407" s="100"/>
      <c r="G407" s="100"/>
      <c r="H407" s="101"/>
      <c r="I407" s="101"/>
      <c r="J407" s="102"/>
      <c r="K407" s="102"/>
      <c r="L407" s="102"/>
      <c r="M407" s="102"/>
    </row>
    <row r="408" spans="2:13" s="98" customFormat="1" x14ac:dyDescent="0.15">
      <c r="B408" s="100"/>
      <c r="C408" s="100"/>
      <c r="D408" s="100"/>
      <c r="E408" s="100"/>
      <c r="F408" s="100"/>
      <c r="G408" s="100"/>
      <c r="H408" s="101"/>
      <c r="I408" s="101"/>
      <c r="J408" s="102"/>
      <c r="K408" s="102"/>
      <c r="L408" s="102"/>
      <c r="M408" s="102"/>
    </row>
    <row r="409" spans="2:13" s="98" customFormat="1" x14ac:dyDescent="0.15">
      <c r="B409" s="100"/>
      <c r="C409" s="100"/>
      <c r="D409" s="100"/>
      <c r="E409" s="100"/>
      <c r="F409" s="100"/>
      <c r="G409" s="100"/>
      <c r="H409" s="101"/>
      <c r="I409" s="101"/>
      <c r="J409" s="102"/>
      <c r="K409" s="102"/>
      <c r="L409" s="102"/>
      <c r="M409" s="102"/>
    </row>
    <row r="410" spans="2:13" s="98" customFormat="1" x14ac:dyDescent="0.15">
      <c r="B410" s="100"/>
      <c r="C410" s="100"/>
      <c r="D410" s="100"/>
      <c r="E410" s="100"/>
      <c r="F410" s="100"/>
      <c r="G410" s="100"/>
      <c r="H410" s="101"/>
      <c r="I410" s="101"/>
      <c r="J410" s="102"/>
      <c r="K410" s="102"/>
      <c r="L410" s="102"/>
      <c r="M410" s="102"/>
    </row>
    <row r="411" spans="2:13" s="98" customFormat="1" x14ac:dyDescent="0.15">
      <c r="B411" s="100"/>
      <c r="C411" s="100"/>
      <c r="D411" s="100"/>
      <c r="E411" s="100"/>
      <c r="F411" s="100"/>
      <c r="G411" s="100"/>
      <c r="H411" s="101"/>
      <c r="I411" s="101"/>
      <c r="J411" s="102"/>
      <c r="K411" s="102"/>
      <c r="L411" s="102"/>
      <c r="M411" s="102"/>
    </row>
    <row r="412" spans="2:13" s="98" customFormat="1" x14ac:dyDescent="0.15">
      <c r="B412" s="100"/>
      <c r="C412" s="100"/>
      <c r="D412" s="100"/>
      <c r="E412" s="100"/>
      <c r="F412" s="100"/>
      <c r="G412" s="100"/>
      <c r="H412" s="101"/>
      <c r="I412" s="101"/>
      <c r="J412" s="102"/>
      <c r="K412" s="102"/>
      <c r="L412" s="102"/>
      <c r="M412" s="102"/>
    </row>
    <row r="413" spans="2:13" s="98" customFormat="1" x14ac:dyDescent="0.15">
      <c r="B413" s="100"/>
      <c r="C413" s="100"/>
      <c r="D413" s="100"/>
      <c r="E413" s="100"/>
      <c r="F413" s="100"/>
      <c r="G413" s="100"/>
      <c r="H413" s="101"/>
      <c r="I413" s="101"/>
      <c r="J413" s="102"/>
      <c r="K413" s="102"/>
      <c r="L413" s="102"/>
      <c r="M413" s="102"/>
    </row>
    <row r="414" spans="2:13" s="98" customFormat="1" x14ac:dyDescent="0.15">
      <c r="B414" s="100"/>
      <c r="C414" s="100"/>
      <c r="D414" s="100"/>
      <c r="E414" s="100"/>
      <c r="F414" s="100"/>
      <c r="G414" s="100"/>
      <c r="H414" s="101"/>
      <c r="I414" s="101"/>
      <c r="J414" s="102"/>
      <c r="K414" s="102"/>
      <c r="L414" s="102"/>
      <c r="M414" s="102"/>
    </row>
    <row r="415" spans="2:13" s="98" customFormat="1" x14ac:dyDescent="0.15">
      <c r="B415" s="100"/>
      <c r="C415" s="100"/>
      <c r="D415" s="100"/>
      <c r="E415" s="100"/>
      <c r="F415" s="100"/>
      <c r="G415" s="100"/>
      <c r="H415" s="101"/>
      <c r="I415" s="101"/>
      <c r="J415" s="102"/>
      <c r="K415" s="102"/>
      <c r="L415" s="102"/>
      <c r="M415" s="102"/>
    </row>
    <row r="416" spans="2:13" s="98" customFormat="1" x14ac:dyDescent="0.15">
      <c r="B416" s="100"/>
      <c r="C416" s="100"/>
      <c r="D416" s="100"/>
      <c r="E416" s="100"/>
      <c r="F416" s="100"/>
      <c r="G416" s="100"/>
      <c r="H416" s="101"/>
      <c r="I416" s="101"/>
      <c r="J416" s="102"/>
      <c r="K416" s="102"/>
      <c r="L416" s="102"/>
      <c r="M416" s="102"/>
    </row>
    <row r="417" spans="2:13" s="98" customFormat="1" x14ac:dyDescent="0.15">
      <c r="B417" s="100"/>
      <c r="C417" s="100"/>
      <c r="D417" s="100"/>
      <c r="E417" s="100"/>
      <c r="F417" s="100"/>
      <c r="G417" s="100"/>
      <c r="H417" s="101"/>
      <c r="I417" s="101"/>
      <c r="J417" s="102"/>
      <c r="K417" s="102"/>
      <c r="L417" s="102"/>
      <c r="M417" s="102"/>
    </row>
    <row r="418" spans="2:13" s="98" customFormat="1" x14ac:dyDescent="0.15">
      <c r="B418" s="100"/>
      <c r="C418" s="100"/>
      <c r="D418" s="100"/>
      <c r="E418" s="100"/>
      <c r="F418" s="100"/>
      <c r="G418" s="100"/>
      <c r="H418" s="101"/>
      <c r="I418" s="101"/>
      <c r="J418" s="102"/>
      <c r="K418" s="102"/>
      <c r="L418" s="102"/>
      <c r="M418" s="102"/>
    </row>
    <row r="419" spans="2:13" s="98" customFormat="1" x14ac:dyDescent="0.15">
      <c r="B419" s="100"/>
      <c r="C419" s="100"/>
      <c r="D419" s="100"/>
      <c r="E419" s="100"/>
      <c r="F419" s="100"/>
      <c r="G419" s="100"/>
      <c r="H419" s="101"/>
      <c r="I419" s="101"/>
      <c r="J419" s="102"/>
      <c r="K419" s="102"/>
      <c r="L419" s="102"/>
      <c r="M419" s="102"/>
    </row>
    <row r="420" spans="2:13" s="98" customFormat="1" x14ac:dyDescent="0.15">
      <c r="B420" s="100"/>
      <c r="C420" s="100"/>
      <c r="D420" s="100"/>
      <c r="E420" s="100"/>
      <c r="F420" s="100"/>
      <c r="G420" s="100"/>
      <c r="H420" s="101"/>
      <c r="I420" s="101"/>
      <c r="J420" s="102"/>
      <c r="K420" s="102"/>
      <c r="L420" s="102"/>
      <c r="M420" s="102"/>
    </row>
    <row r="421" spans="2:13" s="98" customFormat="1" x14ac:dyDescent="0.15">
      <c r="B421" s="100"/>
      <c r="C421" s="100"/>
      <c r="D421" s="100"/>
      <c r="E421" s="100"/>
      <c r="F421" s="100"/>
      <c r="G421" s="100"/>
      <c r="H421" s="101"/>
      <c r="I421" s="101"/>
      <c r="J421" s="102"/>
      <c r="K421" s="102"/>
      <c r="L421" s="102"/>
      <c r="M421" s="102"/>
    </row>
    <row r="422" spans="2:13" s="98" customFormat="1" x14ac:dyDescent="0.15">
      <c r="B422" s="100"/>
      <c r="C422" s="100"/>
      <c r="D422" s="100"/>
      <c r="E422" s="100"/>
      <c r="F422" s="100"/>
      <c r="G422" s="100"/>
      <c r="H422" s="101"/>
      <c r="I422" s="101"/>
      <c r="J422" s="102"/>
      <c r="K422" s="102"/>
      <c r="L422" s="102"/>
      <c r="M422" s="102"/>
    </row>
    <row r="423" spans="2:13" s="98" customFormat="1" x14ac:dyDescent="0.15">
      <c r="B423" s="100"/>
      <c r="C423" s="100"/>
      <c r="D423" s="100"/>
      <c r="E423" s="100"/>
      <c r="F423" s="100"/>
      <c r="G423" s="100"/>
      <c r="H423" s="101"/>
      <c r="I423" s="101"/>
      <c r="J423" s="102"/>
      <c r="K423" s="102"/>
      <c r="L423" s="102"/>
      <c r="M423" s="102"/>
    </row>
    <row r="424" spans="2:13" s="98" customFormat="1" x14ac:dyDescent="0.15">
      <c r="B424" s="100"/>
      <c r="C424" s="100"/>
      <c r="D424" s="100"/>
      <c r="E424" s="100"/>
      <c r="F424" s="100"/>
      <c r="G424" s="100"/>
      <c r="H424" s="101"/>
      <c r="I424" s="101"/>
      <c r="J424" s="102"/>
      <c r="K424" s="102"/>
      <c r="L424" s="102"/>
      <c r="M424" s="102"/>
    </row>
    <row r="425" spans="2:13" s="98" customFormat="1" x14ac:dyDescent="0.15">
      <c r="B425" s="100"/>
      <c r="C425" s="100"/>
      <c r="D425" s="100"/>
      <c r="E425" s="100"/>
      <c r="F425" s="100"/>
      <c r="G425" s="100"/>
      <c r="H425" s="101"/>
      <c r="I425" s="101"/>
      <c r="J425" s="102"/>
      <c r="K425" s="102"/>
      <c r="L425" s="102"/>
      <c r="M425" s="102"/>
    </row>
    <row r="426" spans="2:13" s="98" customFormat="1" x14ac:dyDescent="0.15">
      <c r="B426" s="100"/>
      <c r="C426" s="100"/>
      <c r="D426" s="100"/>
      <c r="E426" s="100"/>
      <c r="F426" s="100"/>
      <c r="G426" s="100"/>
      <c r="H426" s="101"/>
      <c r="I426" s="101"/>
      <c r="J426" s="102"/>
      <c r="K426" s="102"/>
      <c r="L426" s="102"/>
      <c r="M426" s="102"/>
    </row>
    <row r="427" spans="2:13" s="98" customFormat="1" x14ac:dyDescent="0.15">
      <c r="B427" s="100"/>
      <c r="C427" s="100"/>
      <c r="D427" s="100"/>
      <c r="E427" s="100"/>
      <c r="F427" s="100"/>
      <c r="G427" s="100"/>
      <c r="H427" s="101"/>
      <c r="I427" s="101"/>
      <c r="J427" s="102"/>
      <c r="K427" s="102"/>
      <c r="L427" s="102"/>
      <c r="M427" s="102"/>
    </row>
    <row r="428" spans="2:13" s="98" customFormat="1" x14ac:dyDescent="0.15">
      <c r="B428" s="100"/>
      <c r="C428" s="100"/>
      <c r="D428" s="100"/>
      <c r="E428" s="100"/>
      <c r="F428" s="100"/>
      <c r="G428" s="100"/>
      <c r="H428" s="101"/>
      <c r="I428" s="101"/>
      <c r="J428" s="102"/>
      <c r="K428" s="102"/>
      <c r="L428" s="102"/>
      <c r="M428" s="102"/>
    </row>
    <row r="429" spans="2:13" s="98" customFormat="1" x14ac:dyDescent="0.15">
      <c r="B429" s="100"/>
      <c r="C429" s="100"/>
      <c r="D429" s="100"/>
      <c r="E429" s="100"/>
      <c r="F429" s="100"/>
      <c r="G429" s="100"/>
      <c r="H429" s="101"/>
      <c r="I429" s="101"/>
      <c r="J429" s="102"/>
      <c r="K429" s="102"/>
      <c r="L429" s="102"/>
      <c r="M429" s="102"/>
    </row>
    <row r="430" spans="2:13" s="98" customFormat="1" x14ac:dyDescent="0.15">
      <c r="B430" s="100"/>
      <c r="C430" s="100"/>
      <c r="D430" s="100"/>
      <c r="E430" s="100"/>
      <c r="F430" s="100"/>
      <c r="G430" s="100"/>
      <c r="H430" s="101"/>
      <c r="I430" s="101"/>
      <c r="J430" s="102"/>
      <c r="K430" s="102"/>
      <c r="L430" s="102"/>
      <c r="M430" s="102"/>
    </row>
    <row r="431" spans="2:13" s="98" customFormat="1" x14ac:dyDescent="0.15">
      <c r="B431" s="100"/>
      <c r="C431" s="100"/>
      <c r="D431" s="100"/>
      <c r="E431" s="100"/>
      <c r="F431" s="100"/>
      <c r="G431" s="100"/>
      <c r="H431" s="101"/>
      <c r="I431" s="101"/>
      <c r="J431" s="102"/>
      <c r="K431" s="102"/>
      <c r="L431" s="102"/>
      <c r="M431" s="102"/>
    </row>
    <row r="432" spans="2:13" s="98" customFormat="1" x14ac:dyDescent="0.15">
      <c r="B432" s="100"/>
      <c r="C432" s="100"/>
      <c r="D432" s="100"/>
      <c r="E432" s="100"/>
      <c r="F432" s="100"/>
      <c r="G432" s="100"/>
      <c r="H432" s="101"/>
      <c r="I432" s="101"/>
      <c r="J432" s="102"/>
      <c r="K432" s="102"/>
      <c r="L432" s="102"/>
      <c r="M432" s="102"/>
    </row>
    <row r="433" spans="2:13" s="98" customFormat="1" x14ac:dyDescent="0.15">
      <c r="B433" s="100"/>
      <c r="C433" s="100"/>
      <c r="D433" s="100"/>
      <c r="E433" s="100"/>
      <c r="F433" s="100"/>
      <c r="G433" s="100"/>
      <c r="H433" s="101"/>
      <c r="I433" s="101"/>
      <c r="J433" s="102"/>
      <c r="K433" s="102"/>
      <c r="L433" s="102"/>
      <c r="M433" s="102"/>
    </row>
    <row r="434" spans="2:13" s="98" customFormat="1" x14ac:dyDescent="0.15">
      <c r="B434" s="100"/>
      <c r="C434" s="100"/>
      <c r="D434" s="100"/>
      <c r="E434" s="100"/>
      <c r="F434" s="100"/>
      <c r="G434" s="100"/>
      <c r="H434" s="101"/>
      <c r="I434" s="101"/>
      <c r="J434" s="102"/>
      <c r="K434" s="102"/>
      <c r="L434" s="102"/>
      <c r="M434" s="102"/>
    </row>
    <row r="435" spans="2:13" s="98" customFormat="1" x14ac:dyDescent="0.15">
      <c r="B435" s="100"/>
      <c r="C435" s="100"/>
      <c r="D435" s="100"/>
      <c r="E435" s="100"/>
      <c r="F435" s="100"/>
      <c r="G435" s="100"/>
      <c r="H435" s="101"/>
      <c r="I435" s="101"/>
      <c r="J435" s="102"/>
      <c r="K435" s="102"/>
      <c r="L435" s="102"/>
      <c r="M435" s="102"/>
    </row>
    <row r="436" spans="2:13" s="98" customFormat="1" x14ac:dyDescent="0.15">
      <c r="B436" s="100"/>
      <c r="C436" s="100"/>
      <c r="D436" s="100"/>
      <c r="E436" s="100"/>
      <c r="F436" s="100"/>
      <c r="G436" s="100"/>
      <c r="H436" s="101"/>
      <c r="I436" s="101"/>
      <c r="J436" s="102"/>
      <c r="K436" s="102"/>
      <c r="L436" s="102"/>
      <c r="M436" s="102"/>
    </row>
    <row r="437" spans="2:13" s="98" customFormat="1" x14ac:dyDescent="0.15">
      <c r="B437" s="100"/>
      <c r="C437" s="100"/>
      <c r="D437" s="100"/>
      <c r="E437" s="100"/>
      <c r="F437" s="100"/>
      <c r="G437" s="100"/>
      <c r="H437" s="101"/>
      <c r="I437" s="101"/>
      <c r="J437" s="102"/>
      <c r="K437" s="102"/>
      <c r="L437" s="102"/>
      <c r="M437" s="102"/>
    </row>
    <row r="438" spans="2:13" s="98" customFormat="1" x14ac:dyDescent="0.15">
      <c r="B438" s="100"/>
      <c r="C438" s="100"/>
      <c r="D438" s="100"/>
      <c r="E438" s="100"/>
      <c r="F438" s="100"/>
      <c r="G438" s="100"/>
      <c r="H438" s="101"/>
      <c r="I438" s="101"/>
      <c r="J438" s="102"/>
      <c r="K438" s="102"/>
      <c r="L438" s="102"/>
      <c r="M438" s="102"/>
    </row>
    <row r="439" spans="2:13" s="98" customFormat="1" x14ac:dyDescent="0.15">
      <c r="B439" s="100"/>
      <c r="C439" s="100"/>
      <c r="D439" s="100"/>
      <c r="E439" s="100"/>
      <c r="F439" s="100"/>
      <c r="G439" s="100"/>
      <c r="H439" s="101"/>
      <c r="I439" s="101"/>
      <c r="J439" s="102"/>
      <c r="K439" s="102"/>
      <c r="L439" s="102"/>
      <c r="M439" s="102"/>
    </row>
    <row r="440" spans="2:13" s="98" customFormat="1" x14ac:dyDescent="0.15">
      <c r="B440" s="100"/>
      <c r="C440" s="100"/>
      <c r="D440" s="100"/>
      <c r="E440" s="100"/>
      <c r="F440" s="100"/>
      <c r="G440" s="100"/>
      <c r="H440" s="101"/>
      <c r="I440" s="101"/>
      <c r="J440" s="102"/>
      <c r="K440" s="102"/>
      <c r="L440" s="102"/>
      <c r="M440" s="102"/>
    </row>
    <row r="441" spans="2:13" s="98" customFormat="1" x14ac:dyDescent="0.15">
      <c r="B441" s="100"/>
      <c r="C441" s="100"/>
      <c r="D441" s="100"/>
      <c r="E441" s="100"/>
      <c r="F441" s="100"/>
      <c r="G441" s="100"/>
      <c r="H441" s="101"/>
      <c r="I441" s="101"/>
      <c r="J441" s="102"/>
      <c r="K441" s="102"/>
      <c r="L441" s="102"/>
      <c r="M441" s="102"/>
    </row>
    <row r="442" spans="2:13" s="98" customFormat="1" x14ac:dyDescent="0.15">
      <c r="B442" s="100"/>
      <c r="C442" s="100"/>
      <c r="D442" s="100"/>
      <c r="E442" s="100"/>
      <c r="F442" s="100"/>
      <c r="G442" s="100"/>
      <c r="H442" s="101"/>
      <c r="I442" s="101"/>
      <c r="J442" s="102"/>
      <c r="K442" s="102"/>
      <c r="L442" s="102"/>
      <c r="M442" s="102"/>
    </row>
    <row r="443" spans="2:13" s="98" customFormat="1" x14ac:dyDescent="0.15">
      <c r="B443" s="100"/>
      <c r="C443" s="100"/>
      <c r="D443" s="100"/>
      <c r="E443" s="100"/>
      <c r="F443" s="100"/>
      <c r="G443" s="100"/>
      <c r="H443" s="101"/>
      <c r="I443" s="101"/>
      <c r="J443" s="102"/>
      <c r="K443" s="102"/>
      <c r="L443" s="102"/>
      <c r="M443" s="102"/>
    </row>
    <row r="444" spans="2:13" s="98" customFormat="1" x14ac:dyDescent="0.15">
      <c r="B444" s="100"/>
      <c r="C444" s="100"/>
      <c r="D444" s="100"/>
      <c r="E444" s="100"/>
      <c r="F444" s="100"/>
      <c r="G444" s="100"/>
      <c r="H444" s="101"/>
      <c r="I444" s="101"/>
      <c r="J444" s="102"/>
      <c r="K444" s="102"/>
      <c r="L444" s="102"/>
      <c r="M444" s="102"/>
    </row>
    <row r="445" spans="2:13" s="98" customFormat="1" x14ac:dyDescent="0.15">
      <c r="B445" s="100"/>
      <c r="C445" s="100"/>
      <c r="D445" s="100"/>
      <c r="E445" s="100"/>
      <c r="F445" s="100"/>
      <c r="G445" s="100"/>
      <c r="H445" s="101"/>
      <c r="I445" s="101"/>
      <c r="J445" s="102"/>
      <c r="K445" s="102"/>
      <c r="L445" s="102"/>
      <c r="M445" s="102"/>
    </row>
    <row r="446" spans="2:13" s="98" customFormat="1" x14ac:dyDescent="0.15">
      <c r="B446" s="100"/>
      <c r="C446" s="100"/>
      <c r="D446" s="100"/>
      <c r="E446" s="100"/>
      <c r="F446" s="100"/>
      <c r="G446" s="100"/>
      <c r="H446" s="101"/>
      <c r="I446" s="101"/>
      <c r="J446" s="102"/>
      <c r="K446" s="102"/>
      <c r="L446" s="102"/>
      <c r="M446" s="102"/>
    </row>
    <row r="447" spans="2:13" s="98" customFormat="1" x14ac:dyDescent="0.15">
      <c r="B447" s="100"/>
      <c r="C447" s="100"/>
      <c r="D447" s="100"/>
      <c r="E447" s="100"/>
      <c r="F447" s="100"/>
      <c r="G447" s="100"/>
      <c r="H447" s="101"/>
      <c r="I447" s="101"/>
      <c r="J447" s="102"/>
      <c r="K447" s="102"/>
      <c r="L447" s="102"/>
      <c r="M447" s="102"/>
    </row>
    <row r="448" spans="2:13" s="98" customFormat="1" x14ac:dyDescent="0.15">
      <c r="B448" s="100"/>
      <c r="C448" s="100"/>
      <c r="D448" s="100"/>
      <c r="E448" s="100"/>
      <c r="F448" s="100"/>
      <c r="G448" s="100"/>
      <c r="H448" s="101"/>
      <c r="I448" s="101"/>
      <c r="J448" s="102"/>
      <c r="K448" s="102"/>
      <c r="L448" s="102"/>
      <c r="M448" s="102"/>
    </row>
    <row r="449" spans="2:13" s="98" customFormat="1" x14ac:dyDescent="0.15">
      <c r="B449" s="100"/>
      <c r="C449" s="100"/>
      <c r="D449" s="100"/>
      <c r="E449" s="100"/>
      <c r="F449" s="100"/>
      <c r="G449" s="100"/>
      <c r="H449" s="101"/>
      <c r="I449" s="101"/>
      <c r="J449" s="102"/>
      <c r="K449" s="102"/>
      <c r="L449" s="102"/>
      <c r="M449" s="102"/>
    </row>
    <row r="450" spans="2:13" s="98" customFormat="1" x14ac:dyDescent="0.15">
      <c r="B450" s="100"/>
      <c r="C450" s="100"/>
      <c r="D450" s="100"/>
      <c r="E450" s="100"/>
      <c r="F450" s="100"/>
      <c r="G450" s="100"/>
      <c r="H450" s="101"/>
      <c r="I450" s="101"/>
      <c r="J450" s="102"/>
      <c r="K450" s="102"/>
      <c r="L450" s="102"/>
      <c r="M450" s="102"/>
    </row>
    <row r="451" spans="2:13" s="98" customFormat="1" x14ac:dyDescent="0.15">
      <c r="B451" s="100"/>
      <c r="C451" s="100"/>
      <c r="D451" s="100"/>
      <c r="E451" s="100"/>
      <c r="F451" s="100"/>
      <c r="G451" s="100"/>
      <c r="H451" s="101"/>
      <c r="I451" s="101"/>
      <c r="J451" s="102"/>
      <c r="K451" s="102"/>
      <c r="L451" s="102"/>
      <c r="M451" s="102"/>
    </row>
    <row r="452" spans="2:13" s="98" customFormat="1" x14ac:dyDescent="0.15">
      <c r="B452" s="100"/>
      <c r="C452" s="100"/>
      <c r="D452" s="100"/>
      <c r="E452" s="100"/>
      <c r="F452" s="100"/>
      <c r="G452" s="100"/>
      <c r="H452" s="101"/>
      <c r="I452" s="101"/>
      <c r="J452" s="102"/>
      <c r="K452" s="102"/>
      <c r="L452" s="102"/>
      <c r="M452" s="102"/>
    </row>
    <row r="453" spans="2:13" s="98" customFormat="1" x14ac:dyDescent="0.15">
      <c r="B453" s="100"/>
      <c r="C453" s="100"/>
      <c r="D453" s="100"/>
      <c r="E453" s="100"/>
      <c r="F453" s="100"/>
      <c r="G453" s="100"/>
      <c r="H453" s="101"/>
      <c r="I453" s="101"/>
      <c r="J453" s="102"/>
      <c r="K453" s="102"/>
      <c r="L453" s="102"/>
      <c r="M453" s="102"/>
    </row>
    <row r="454" spans="2:13" s="98" customFormat="1" x14ac:dyDescent="0.15">
      <c r="B454" s="100"/>
      <c r="C454" s="100"/>
      <c r="D454" s="100"/>
      <c r="E454" s="100"/>
      <c r="F454" s="100"/>
      <c r="G454" s="100"/>
      <c r="H454" s="101"/>
      <c r="I454" s="101"/>
      <c r="J454" s="102"/>
      <c r="K454" s="102"/>
      <c r="L454" s="102"/>
      <c r="M454" s="102"/>
    </row>
    <row r="455" spans="2:13" s="98" customFormat="1" x14ac:dyDescent="0.15">
      <c r="B455" s="100"/>
      <c r="C455" s="100"/>
      <c r="D455" s="100"/>
      <c r="E455" s="100"/>
      <c r="F455" s="100"/>
      <c r="G455" s="100"/>
      <c r="H455" s="101"/>
      <c r="I455" s="101"/>
      <c r="J455" s="102"/>
      <c r="K455" s="102"/>
      <c r="L455" s="102"/>
      <c r="M455" s="102"/>
    </row>
    <row r="456" spans="2:13" s="98" customFormat="1" x14ac:dyDescent="0.15">
      <c r="B456" s="100"/>
      <c r="C456" s="100"/>
      <c r="D456" s="100"/>
      <c r="E456" s="100"/>
      <c r="F456" s="100"/>
      <c r="G456" s="100"/>
      <c r="H456" s="101"/>
      <c r="I456" s="101"/>
      <c r="J456" s="102"/>
      <c r="K456" s="102"/>
      <c r="L456" s="102"/>
      <c r="M456" s="102"/>
    </row>
    <row r="457" spans="2:13" s="98" customFormat="1" x14ac:dyDescent="0.15">
      <c r="B457" s="100"/>
      <c r="C457" s="100"/>
      <c r="D457" s="100"/>
      <c r="E457" s="100"/>
      <c r="F457" s="100"/>
      <c r="G457" s="100"/>
      <c r="H457" s="101"/>
      <c r="I457" s="101"/>
      <c r="J457" s="102"/>
      <c r="K457" s="102"/>
      <c r="L457" s="102"/>
      <c r="M457" s="102"/>
    </row>
    <row r="458" spans="2:13" s="98" customFormat="1" x14ac:dyDescent="0.15">
      <c r="B458" s="100"/>
      <c r="C458" s="100"/>
      <c r="D458" s="100"/>
      <c r="E458" s="100"/>
      <c r="F458" s="100"/>
      <c r="G458" s="100"/>
      <c r="H458" s="101"/>
      <c r="I458" s="101"/>
      <c r="J458" s="102"/>
      <c r="K458" s="102"/>
      <c r="L458" s="102"/>
      <c r="M458" s="102"/>
    </row>
    <row r="459" spans="2:13" s="98" customFormat="1" x14ac:dyDescent="0.15">
      <c r="B459" s="100"/>
      <c r="C459" s="100"/>
      <c r="D459" s="100"/>
      <c r="E459" s="100"/>
      <c r="F459" s="100"/>
      <c r="G459" s="100"/>
      <c r="H459" s="101"/>
      <c r="I459" s="101"/>
      <c r="J459" s="102"/>
      <c r="K459" s="102"/>
      <c r="L459" s="102"/>
      <c r="M459" s="102"/>
    </row>
    <row r="460" spans="2:13" s="98" customFormat="1" x14ac:dyDescent="0.15">
      <c r="B460" s="100"/>
      <c r="C460" s="100"/>
      <c r="D460" s="100"/>
      <c r="E460" s="100"/>
      <c r="F460" s="100"/>
      <c r="G460" s="100"/>
      <c r="H460" s="101"/>
      <c r="I460" s="101"/>
      <c r="J460" s="102"/>
      <c r="K460" s="102"/>
      <c r="L460" s="102"/>
      <c r="M460" s="102"/>
    </row>
    <row r="461" spans="2:13" s="98" customFormat="1" x14ac:dyDescent="0.15">
      <c r="B461" s="100"/>
      <c r="C461" s="100"/>
      <c r="D461" s="100"/>
      <c r="E461" s="100"/>
      <c r="F461" s="100"/>
      <c r="G461" s="100"/>
      <c r="H461" s="101"/>
      <c r="I461" s="101"/>
      <c r="J461" s="102"/>
      <c r="K461" s="102"/>
      <c r="L461" s="102"/>
      <c r="M461" s="102"/>
    </row>
    <row r="462" spans="2:13" s="98" customFormat="1" x14ac:dyDescent="0.15">
      <c r="B462" s="100"/>
      <c r="C462" s="100"/>
      <c r="D462" s="100"/>
      <c r="E462" s="100"/>
      <c r="F462" s="100"/>
      <c r="G462" s="100"/>
      <c r="H462" s="101"/>
      <c r="I462" s="101"/>
      <c r="J462" s="102"/>
      <c r="K462" s="102"/>
      <c r="L462" s="102"/>
      <c r="M462" s="102"/>
    </row>
    <row r="463" spans="2:13" s="98" customFormat="1" x14ac:dyDescent="0.15">
      <c r="B463" s="100"/>
      <c r="C463" s="100"/>
      <c r="D463" s="100"/>
      <c r="E463" s="100"/>
      <c r="F463" s="100"/>
      <c r="G463" s="100"/>
      <c r="H463" s="101"/>
      <c r="I463" s="101"/>
      <c r="J463" s="102"/>
      <c r="K463" s="102"/>
      <c r="L463" s="102"/>
      <c r="M463" s="102"/>
    </row>
    <row r="464" spans="2:13" s="98" customFormat="1" x14ac:dyDescent="0.15">
      <c r="B464" s="100"/>
      <c r="C464" s="100"/>
      <c r="D464" s="100"/>
      <c r="E464" s="100"/>
      <c r="F464" s="100"/>
      <c r="G464" s="100"/>
      <c r="H464" s="101"/>
      <c r="I464" s="101"/>
      <c r="J464" s="102"/>
      <c r="K464" s="102"/>
      <c r="L464" s="102"/>
      <c r="M464" s="102"/>
    </row>
    <row r="465" spans="2:13" s="98" customFormat="1" x14ac:dyDescent="0.15">
      <c r="B465" s="100"/>
      <c r="C465" s="100"/>
      <c r="D465" s="100"/>
      <c r="E465" s="100"/>
      <c r="F465" s="100"/>
      <c r="G465" s="100"/>
      <c r="H465" s="101"/>
      <c r="I465" s="101"/>
      <c r="J465" s="102"/>
      <c r="K465" s="102"/>
      <c r="L465" s="102"/>
      <c r="M465" s="102"/>
    </row>
    <row r="466" spans="2:13" s="98" customFormat="1" x14ac:dyDescent="0.15">
      <c r="B466" s="100"/>
      <c r="C466" s="100"/>
      <c r="D466" s="100"/>
      <c r="E466" s="100"/>
      <c r="F466" s="100"/>
      <c r="G466" s="100"/>
      <c r="H466" s="101"/>
      <c r="I466" s="101"/>
      <c r="J466" s="102"/>
      <c r="K466" s="102"/>
      <c r="L466" s="102"/>
      <c r="M466" s="102"/>
    </row>
    <row r="467" spans="2:13" s="98" customFormat="1" x14ac:dyDescent="0.15">
      <c r="B467" s="100"/>
      <c r="C467" s="100"/>
      <c r="D467" s="100"/>
      <c r="E467" s="100"/>
      <c r="F467" s="100"/>
      <c r="G467" s="100"/>
      <c r="H467" s="101"/>
      <c r="I467" s="101"/>
      <c r="J467" s="102"/>
      <c r="K467" s="102"/>
      <c r="L467" s="102"/>
      <c r="M467" s="102"/>
    </row>
    <row r="468" spans="2:13" s="98" customFormat="1" x14ac:dyDescent="0.15">
      <c r="B468" s="100"/>
      <c r="C468" s="100"/>
      <c r="D468" s="100"/>
      <c r="E468" s="100"/>
      <c r="F468" s="100"/>
      <c r="G468" s="100"/>
      <c r="H468" s="101"/>
      <c r="I468" s="101"/>
      <c r="J468" s="102"/>
      <c r="K468" s="102"/>
      <c r="L468" s="102"/>
      <c r="M468" s="102"/>
    </row>
    <row r="469" spans="2:13" s="98" customFormat="1" x14ac:dyDescent="0.15">
      <c r="B469" s="100"/>
      <c r="C469" s="100"/>
      <c r="D469" s="100"/>
      <c r="E469" s="100"/>
      <c r="F469" s="100"/>
      <c r="G469" s="100"/>
      <c r="H469" s="101"/>
      <c r="I469" s="101"/>
      <c r="J469" s="102"/>
      <c r="K469" s="102"/>
      <c r="L469" s="102"/>
      <c r="M469" s="102"/>
    </row>
    <row r="470" spans="2:13" s="98" customFormat="1" x14ac:dyDescent="0.15">
      <c r="B470" s="100"/>
      <c r="C470" s="100"/>
      <c r="D470" s="100"/>
      <c r="E470" s="100"/>
      <c r="F470" s="100"/>
      <c r="G470" s="100"/>
      <c r="H470" s="101"/>
      <c r="I470" s="101"/>
      <c r="J470" s="102"/>
      <c r="K470" s="102"/>
      <c r="L470" s="102"/>
      <c r="M470" s="102"/>
    </row>
    <row r="471" spans="2:13" s="98" customFormat="1" x14ac:dyDescent="0.15">
      <c r="B471" s="100"/>
      <c r="C471" s="100"/>
      <c r="D471" s="100"/>
      <c r="E471" s="100"/>
      <c r="F471" s="100"/>
      <c r="G471" s="100"/>
      <c r="H471" s="101"/>
      <c r="I471" s="101"/>
      <c r="J471" s="102"/>
      <c r="K471" s="102"/>
      <c r="L471" s="102"/>
      <c r="M471" s="102"/>
    </row>
    <row r="472" spans="2:13" s="98" customFormat="1" x14ac:dyDescent="0.15">
      <c r="B472" s="100"/>
      <c r="C472" s="100"/>
      <c r="D472" s="100"/>
      <c r="E472" s="100"/>
      <c r="F472" s="100"/>
      <c r="G472" s="100"/>
      <c r="H472" s="101"/>
      <c r="I472" s="101"/>
      <c r="J472" s="102"/>
      <c r="K472" s="102"/>
      <c r="L472" s="102"/>
      <c r="M472" s="102"/>
    </row>
    <row r="473" spans="2:13" s="98" customFormat="1" x14ac:dyDescent="0.15">
      <c r="B473" s="100"/>
      <c r="C473" s="100"/>
      <c r="D473" s="100"/>
      <c r="E473" s="100"/>
      <c r="F473" s="100"/>
      <c r="G473" s="100"/>
      <c r="H473" s="101"/>
      <c r="I473" s="101"/>
      <c r="J473" s="102"/>
      <c r="K473" s="102"/>
      <c r="L473" s="102"/>
      <c r="M473" s="102"/>
    </row>
    <row r="474" spans="2:13" s="98" customFormat="1" x14ac:dyDescent="0.15">
      <c r="B474" s="100"/>
      <c r="C474" s="100"/>
      <c r="D474" s="100"/>
      <c r="E474" s="100"/>
      <c r="F474" s="100"/>
      <c r="G474" s="100"/>
      <c r="H474" s="101"/>
      <c r="I474" s="101"/>
      <c r="J474" s="102"/>
      <c r="K474" s="102"/>
      <c r="L474" s="102"/>
      <c r="M474" s="102"/>
    </row>
    <row r="475" spans="2:13" s="98" customFormat="1" x14ac:dyDescent="0.15">
      <c r="B475" s="100"/>
      <c r="C475" s="100"/>
      <c r="D475" s="100"/>
      <c r="E475" s="100"/>
      <c r="F475" s="100"/>
      <c r="G475" s="100"/>
      <c r="H475" s="101"/>
      <c r="I475" s="101"/>
      <c r="J475" s="102"/>
      <c r="K475" s="102"/>
      <c r="L475" s="102"/>
      <c r="M475" s="102"/>
    </row>
    <row r="476" spans="2:13" s="98" customFormat="1" x14ac:dyDescent="0.15">
      <c r="B476" s="100"/>
      <c r="C476" s="100"/>
      <c r="D476" s="100"/>
      <c r="E476" s="100"/>
      <c r="F476" s="100"/>
      <c r="G476" s="100"/>
      <c r="H476" s="101"/>
      <c r="I476" s="101"/>
      <c r="J476" s="102"/>
      <c r="K476" s="102"/>
      <c r="L476" s="102"/>
      <c r="M476" s="102"/>
    </row>
    <row r="477" spans="2:13" s="98" customFormat="1" x14ac:dyDescent="0.15">
      <c r="B477" s="100"/>
      <c r="C477" s="100"/>
      <c r="D477" s="100"/>
      <c r="E477" s="100"/>
      <c r="F477" s="100"/>
      <c r="G477" s="100"/>
      <c r="H477" s="101"/>
      <c r="I477" s="101"/>
      <c r="J477" s="102"/>
      <c r="K477" s="102"/>
      <c r="L477" s="102"/>
      <c r="M477" s="102"/>
    </row>
    <row r="478" spans="2:13" s="98" customFormat="1" x14ac:dyDescent="0.15">
      <c r="B478" s="100"/>
      <c r="C478" s="100"/>
      <c r="D478" s="100"/>
      <c r="E478" s="100"/>
      <c r="F478" s="100"/>
      <c r="G478" s="100"/>
      <c r="H478" s="101"/>
      <c r="I478" s="101"/>
      <c r="J478" s="102"/>
      <c r="K478" s="102"/>
      <c r="L478" s="102"/>
      <c r="M478" s="102"/>
    </row>
    <row r="479" spans="2:13" s="98" customFormat="1" x14ac:dyDescent="0.15">
      <c r="B479" s="100"/>
      <c r="C479" s="100"/>
      <c r="D479" s="100"/>
      <c r="E479" s="100"/>
      <c r="F479" s="100"/>
      <c r="G479" s="100"/>
      <c r="H479" s="101"/>
      <c r="I479" s="101"/>
      <c r="J479" s="102"/>
      <c r="K479" s="102"/>
      <c r="L479" s="102"/>
      <c r="M479" s="102"/>
    </row>
    <row r="480" spans="2:13" s="98" customFormat="1" x14ac:dyDescent="0.15">
      <c r="B480" s="100"/>
      <c r="C480" s="100"/>
      <c r="D480" s="100"/>
      <c r="E480" s="100"/>
      <c r="F480" s="100"/>
      <c r="G480" s="100"/>
      <c r="H480" s="101"/>
      <c r="I480" s="101"/>
      <c r="J480" s="102"/>
      <c r="K480" s="102"/>
      <c r="L480" s="102"/>
      <c r="M480" s="102"/>
    </row>
    <row r="481" spans="2:13" s="98" customFormat="1" x14ac:dyDescent="0.15">
      <c r="B481" s="100"/>
      <c r="C481" s="100"/>
      <c r="D481" s="100"/>
      <c r="E481" s="100"/>
      <c r="F481" s="100"/>
      <c r="G481" s="100"/>
      <c r="H481" s="101"/>
      <c r="I481" s="101"/>
      <c r="J481" s="102"/>
      <c r="K481" s="102"/>
      <c r="L481" s="102"/>
      <c r="M481" s="102"/>
    </row>
    <row r="482" spans="2:13" s="98" customFormat="1" x14ac:dyDescent="0.15">
      <c r="B482" s="100"/>
      <c r="C482" s="100"/>
      <c r="D482" s="100"/>
      <c r="E482" s="100"/>
      <c r="F482" s="100"/>
      <c r="G482" s="100"/>
      <c r="H482" s="101"/>
      <c r="I482" s="101"/>
      <c r="J482" s="102"/>
      <c r="K482" s="102"/>
      <c r="L482" s="102"/>
      <c r="M482" s="102"/>
    </row>
    <row r="483" spans="2:13" s="98" customFormat="1" x14ac:dyDescent="0.15">
      <c r="B483" s="100"/>
      <c r="C483" s="100"/>
      <c r="D483" s="100"/>
      <c r="E483" s="100"/>
      <c r="F483" s="100"/>
      <c r="G483" s="100"/>
      <c r="H483" s="101"/>
      <c r="I483" s="101"/>
      <c r="J483" s="102"/>
      <c r="K483" s="102"/>
      <c r="L483" s="102"/>
      <c r="M483" s="102"/>
    </row>
    <row r="484" spans="2:13" s="98" customFormat="1" x14ac:dyDescent="0.15">
      <c r="B484" s="100"/>
      <c r="C484" s="100"/>
      <c r="D484" s="100"/>
      <c r="E484" s="100"/>
      <c r="F484" s="100"/>
      <c r="G484" s="100"/>
      <c r="H484" s="101"/>
      <c r="I484" s="101"/>
      <c r="J484" s="102"/>
      <c r="K484" s="102"/>
      <c r="L484" s="102"/>
      <c r="M484" s="102"/>
    </row>
    <row r="485" spans="2:13" s="98" customFormat="1" x14ac:dyDescent="0.15">
      <c r="B485" s="100"/>
      <c r="C485" s="100"/>
      <c r="D485" s="100"/>
      <c r="E485" s="100"/>
      <c r="F485" s="100"/>
      <c r="G485" s="100"/>
      <c r="H485" s="101"/>
      <c r="I485" s="101"/>
      <c r="J485" s="102"/>
      <c r="K485" s="102"/>
      <c r="L485" s="102"/>
      <c r="M485" s="102"/>
    </row>
    <row r="486" spans="2:13" s="98" customFormat="1" x14ac:dyDescent="0.15">
      <c r="B486" s="100"/>
      <c r="C486" s="100"/>
      <c r="D486" s="100"/>
      <c r="E486" s="100"/>
      <c r="F486" s="100"/>
      <c r="G486" s="100"/>
      <c r="H486" s="101"/>
      <c r="I486" s="101"/>
      <c r="J486" s="102"/>
      <c r="K486" s="102"/>
      <c r="L486" s="102"/>
      <c r="M486" s="102"/>
    </row>
    <row r="487" spans="2:13" s="98" customFormat="1" x14ac:dyDescent="0.15">
      <c r="B487" s="100"/>
      <c r="C487" s="100"/>
      <c r="D487" s="100"/>
      <c r="E487" s="100"/>
      <c r="F487" s="100"/>
      <c r="G487" s="100"/>
      <c r="H487" s="101"/>
      <c r="I487" s="101"/>
      <c r="J487" s="102"/>
      <c r="K487" s="102"/>
      <c r="L487" s="102"/>
      <c r="M487" s="102"/>
    </row>
    <row r="488" spans="2:13" s="98" customFormat="1" x14ac:dyDescent="0.15">
      <c r="B488" s="100"/>
      <c r="C488" s="100"/>
      <c r="D488" s="100"/>
      <c r="E488" s="100"/>
      <c r="F488" s="100"/>
      <c r="G488" s="100"/>
      <c r="H488" s="101"/>
      <c r="I488" s="101"/>
      <c r="J488" s="102"/>
      <c r="K488" s="102"/>
      <c r="L488" s="102"/>
      <c r="M488" s="102"/>
    </row>
    <row r="489" spans="2:13" s="98" customFormat="1" x14ac:dyDescent="0.15">
      <c r="B489" s="100"/>
      <c r="C489" s="100"/>
      <c r="D489" s="100"/>
      <c r="E489" s="100"/>
      <c r="F489" s="100"/>
      <c r="G489" s="100"/>
      <c r="H489" s="101"/>
      <c r="I489" s="101"/>
      <c r="J489" s="102"/>
      <c r="K489" s="102"/>
      <c r="L489" s="102"/>
      <c r="M489" s="102"/>
    </row>
    <row r="490" spans="2:13" s="98" customFormat="1" x14ac:dyDescent="0.15">
      <c r="B490" s="100"/>
      <c r="C490" s="100"/>
      <c r="D490" s="100"/>
      <c r="E490" s="100"/>
      <c r="F490" s="100"/>
      <c r="G490" s="100"/>
      <c r="H490" s="101"/>
      <c r="I490" s="101"/>
      <c r="J490" s="102"/>
      <c r="K490" s="102"/>
      <c r="L490" s="102"/>
      <c r="M490" s="102"/>
    </row>
    <row r="491" spans="2:13" s="98" customFormat="1" x14ac:dyDescent="0.15">
      <c r="B491" s="100"/>
      <c r="C491" s="100"/>
      <c r="D491" s="100"/>
      <c r="E491" s="100"/>
      <c r="F491" s="100"/>
      <c r="G491" s="100"/>
      <c r="H491" s="101"/>
      <c r="I491" s="101"/>
      <c r="J491" s="102"/>
      <c r="K491" s="102"/>
      <c r="L491" s="102"/>
      <c r="M491" s="102"/>
    </row>
    <row r="492" spans="2:13" s="98" customFormat="1" x14ac:dyDescent="0.15">
      <c r="B492" s="100"/>
      <c r="C492" s="100"/>
      <c r="D492" s="100"/>
      <c r="E492" s="100"/>
      <c r="F492" s="100"/>
      <c r="G492" s="100"/>
      <c r="H492" s="101"/>
      <c r="I492" s="101"/>
      <c r="J492" s="102"/>
      <c r="K492" s="102"/>
      <c r="L492" s="102"/>
      <c r="M492" s="102"/>
    </row>
    <row r="493" spans="2:13" s="98" customFormat="1" x14ac:dyDescent="0.15">
      <c r="B493" s="100"/>
      <c r="C493" s="100"/>
      <c r="D493" s="100"/>
      <c r="E493" s="100"/>
      <c r="F493" s="100"/>
      <c r="G493" s="100"/>
      <c r="H493" s="101"/>
      <c r="I493" s="101"/>
      <c r="J493" s="102"/>
      <c r="K493" s="102"/>
      <c r="L493" s="102"/>
      <c r="M493" s="102"/>
    </row>
    <row r="494" spans="2:13" s="98" customFormat="1" x14ac:dyDescent="0.15">
      <c r="B494" s="100"/>
      <c r="C494" s="100"/>
      <c r="D494" s="100"/>
      <c r="E494" s="100"/>
      <c r="F494" s="100"/>
      <c r="G494" s="100"/>
      <c r="H494" s="101"/>
      <c r="I494" s="101"/>
      <c r="J494" s="102"/>
      <c r="K494" s="102"/>
      <c r="L494" s="102"/>
      <c r="M494" s="102"/>
    </row>
    <row r="495" spans="2:13" s="98" customFormat="1" x14ac:dyDescent="0.15">
      <c r="B495" s="100"/>
      <c r="C495" s="100"/>
      <c r="D495" s="100"/>
      <c r="E495" s="100"/>
      <c r="F495" s="100"/>
      <c r="G495" s="100"/>
      <c r="H495" s="101"/>
      <c r="I495" s="101"/>
      <c r="J495" s="102"/>
      <c r="K495" s="102"/>
      <c r="L495" s="102"/>
      <c r="M495" s="102"/>
    </row>
    <row r="496" spans="2:13" s="98" customFormat="1" x14ac:dyDescent="0.15">
      <c r="B496" s="100"/>
      <c r="C496" s="100"/>
      <c r="D496" s="100"/>
      <c r="E496" s="100"/>
      <c r="F496" s="100"/>
      <c r="G496" s="100"/>
      <c r="H496" s="101"/>
      <c r="I496" s="101"/>
      <c r="J496" s="102"/>
      <c r="K496" s="102"/>
      <c r="L496" s="102"/>
      <c r="M496" s="102"/>
    </row>
    <row r="497" spans="2:13" s="98" customFormat="1" x14ac:dyDescent="0.15">
      <c r="B497" s="100"/>
      <c r="C497" s="100"/>
      <c r="D497" s="100"/>
      <c r="E497" s="100"/>
      <c r="F497" s="100"/>
      <c r="G497" s="100"/>
      <c r="H497" s="101"/>
      <c r="I497" s="101"/>
      <c r="J497" s="102"/>
      <c r="K497" s="102"/>
      <c r="L497" s="102"/>
      <c r="M497" s="102"/>
    </row>
    <row r="498" spans="2:13" s="98" customFormat="1" x14ac:dyDescent="0.15">
      <c r="B498" s="100"/>
      <c r="C498" s="100"/>
      <c r="D498" s="100"/>
      <c r="E498" s="100"/>
      <c r="F498" s="100"/>
      <c r="G498" s="100"/>
      <c r="H498" s="101"/>
      <c r="I498" s="101"/>
      <c r="J498" s="102"/>
      <c r="K498" s="102"/>
      <c r="L498" s="102"/>
      <c r="M498" s="102"/>
    </row>
    <row r="499" spans="2:13" s="98" customFormat="1" x14ac:dyDescent="0.15">
      <c r="B499" s="100"/>
      <c r="C499" s="100"/>
      <c r="D499" s="100"/>
      <c r="E499" s="100"/>
      <c r="F499" s="100"/>
      <c r="G499" s="100"/>
      <c r="H499" s="101"/>
      <c r="I499" s="101"/>
      <c r="J499" s="102"/>
      <c r="K499" s="102"/>
      <c r="L499" s="102"/>
      <c r="M499" s="102"/>
    </row>
    <row r="500" spans="2:13" s="98" customFormat="1" x14ac:dyDescent="0.15">
      <c r="B500" s="100"/>
      <c r="C500" s="100"/>
      <c r="D500" s="100"/>
      <c r="E500" s="100"/>
      <c r="F500" s="100"/>
      <c r="G500" s="100"/>
      <c r="H500" s="101"/>
      <c r="I500" s="101"/>
      <c r="J500" s="102"/>
      <c r="K500" s="102"/>
      <c r="L500" s="102"/>
      <c r="M500" s="102"/>
    </row>
    <row r="501" spans="2:13" s="98" customFormat="1" x14ac:dyDescent="0.15">
      <c r="B501" s="100"/>
      <c r="C501" s="100"/>
      <c r="D501" s="100"/>
      <c r="E501" s="100"/>
      <c r="F501" s="100"/>
      <c r="G501" s="100"/>
      <c r="H501" s="101"/>
      <c r="I501" s="101"/>
      <c r="J501" s="102"/>
      <c r="K501" s="102"/>
      <c r="L501" s="102"/>
      <c r="M501" s="102"/>
    </row>
    <row r="502" spans="2:13" s="98" customFormat="1" x14ac:dyDescent="0.15">
      <c r="B502" s="100"/>
      <c r="C502" s="100"/>
      <c r="D502" s="100"/>
      <c r="E502" s="100"/>
      <c r="F502" s="100"/>
      <c r="G502" s="100"/>
      <c r="H502" s="101"/>
      <c r="I502" s="101"/>
      <c r="J502" s="102"/>
      <c r="K502" s="102"/>
      <c r="L502" s="102"/>
      <c r="M502" s="102"/>
    </row>
    <row r="503" spans="2:13" s="98" customFormat="1" x14ac:dyDescent="0.15">
      <c r="B503" s="100"/>
      <c r="C503" s="100"/>
      <c r="D503" s="100"/>
      <c r="E503" s="100"/>
      <c r="F503" s="100"/>
      <c r="G503" s="100"/>
      <c r="H503" s="101"/>
      <c r="I503" s="101"/>
      <c r="J503" s="102"/>
      <c r="K503" s="102"/>
      <c r="L503" s="102"/>
      <c r="M503" s="102"/>
    </row>
    <row r="504" spans="2:13" s="98" customFormat="1" x14ac:dyDescent="0.15">
      <c r="B504" s="100"/>
      <c r="C504" s="100"/>
      <c r="D504" s="100"/>
      <c r="E504" s="100"/>
      <c r="F504" s="100"/>
      <c r="G504" s="100"/>
      <c r="H504" s="101"/>
      <c r="I504" s="101"/>
      <c r="J504" s="102"/>
      <c r="K504" s="102"/>
      <c r="L504" s="102"/>
      <c r="M504" s="102"/>
    </row>
    <row r="505" spans="2:13" s="98" customFormat="1" x14ac:dyDescent="0.15">
      <c r="B505" s="100"/>
      <c r="C505" s="100"/>
      <c r="D505" s="100"/>
      <c r="E505" s="100"/>
      <c r="F505" s="100"/>
      <c r="G505" s="100"/>
      <c r="H505" s="101"/>
      <c r="I505" s="101"/>
      <c r="J505" s="102"/>
      <c r="K505" s="102"/>
      <c r="L505" s="102"/>
      <c r="M505" s="102"/>
    </row>
    <row r="506" spans="2:13" s="98" customFormat="1" x14ac:dyDescent="0.15">
      <c r="B506" s="100"/>
      <c r="C506" s="100"/>
      <c r="D506" s="100"/>
      <c r="E506" s="100"/>
      <c r="F506" s="100"/>
      <c r="G506" s="100"/>
      <c r="H506" s="101"/>
      <c r="I506" s="101"/>
      <c r="J506" s="102"/>
      <c r="K506" s="102"/>
      <c r="L506" s="102"/>
      <c r="M506" s="102"/>
    </row>
    <row r="507" spans="2:13" s="98" customFormat="1" x14ac:dyDescent="0.15">
      <c r="B507" s="100"/>
      <c r="C507" s="100"/>
      <c r="D507" s="100"/>
      <c r="E507" s="100"/>
      <c r="F507" s="100"/>
      <c r="G507" s="100"/>
      <c r="H507" s="101"/>
      <c r="I507" s="101"/>
      <c r="J507" s="102"/>
      <c r="K507" s="102"/>
      <c r="L507" s="102"/>
      <c r="M507" s="102"/>
    </row>
    <row r="508" spans="2:13" s="98" customFormat="1" x14ac:dyDescent="0.15">
      <c r="B508" s="100"/>
      <c r="C508" s="100"/>
      <c r="D508" s="100"/>
      <c r="E508" s="100"/>
      <c r="F508" s="100"/>
      <c r="G508" s="100"/>
      <c r="H508" s="101"/>
      <c r="I508" s="101"/>
      <c r="J508" s="102"/>
      <c r="K508" s="102"/>
      <c r="L508" s="102"/>
      <c r="M508" s="102"/>
    </row>
    <row r="509" spans="2:13" s="98" customFormat="1" x14ac:dyDescent="0.15">
      <c r="B509" s="100"/>
      <c r="C509" s="100"/>
      <c r="D509" s="100"/>
      <c r="E509" s="100"/>
      <c r="F509" s="100"/>
      <c r="G509" s="100"/>
      <c r="H509" s="101"/>
      <c r="I509" s="101"/>
      <c r="J509" s="102"/>
      <c r="K509" s="102"/>
      <c r="L509" s="102"/>
      <c r="M509" s="102"/>
    </row>
    <row r="510" spans="2:13" s="98" customFormat="1" x14ac:dyDescent="0.15">
      <c r="B510" s="100"/>
      <c r="C510" s="100"/>
      <c r="D510" s="100"/>
      <c r="E510" s="100"/>
      <c r="F510" s="100"/>
      <c r="G510" s="100"/>
      <c r="H510" s="101"/>
      <c r="I510" s="101"/>
      <c r="J510" s="102"/>
      <c r="K510" s="102"/>
      <c r="L510" s="102"/>
      <c r="M510" s="102"/>
    </row>
    <row r="511" spans="2:13" s="98" customFormat="1" x14ac:dyDescent="0.15">
      <c r="B511" s="100"/>
      <c r="C511" s="100"/>
      <c r="D511" s="100"/>
      <c r="E511" s="100"/>
      <c r="F511" s="100"/>
      <c r="G511" s="100"/>
      <c r="H511" s="101"/>
      <c r="I511" s="101"/>
      <c r="J511" s="102"/>
      <c r="K511" s="102"/>
      <c r="L511" s="102"/>
      <c r="M511" s="102"/>
    </row>
    <row r="512" spans="2:13" s="98" customFormat="1" x14ac:dyDescent="0.15">
      <c r="B512" s="100"/>
      <c r="C512" s="100"/>
      <c r="D512" s="100"/>
      <c r="E512" s="100"/>
      <c r="F512" s="100"/>
      <c r="G512" s="100"/>
      <c r="H512" s="101"/>
      <c r="I512" s="101"/>
      <c r="J512" s="102"/>
      <c r="K512" s="102"/>
      <c r="L512" s="102"/>
      <c r="M512" s="102"/>
    </row>
    <row r="513" spans="2:13" s="98" customFormat="1" x14ac:dyDescent="0.15">
      <c r="B513" s="100"/>
      <c r="C513" s="100"/>
      <c r="D513" s="100"/>
      <c r="E513" s="100"/>
      <c r="F513" s="100"/>
      <c r="G513" s="100"/>
      <c r="H513" s="101"/>
      <c r="I513" s="101"/>
      <c r="J513" s="102"/>
      <c r="K513" s="102"/>
      <c r="L513" s="102"/>
      <c r="M513" s="102"/>
    </row>
    <row r="514" spans="2:13" s="98" customFormat="1" x14ac:dyDescent="0.15">
      <c r="B514" s="100"/>
      <c r="C514" s="100"/>
      <c r="D514" s="100"/>
      <c r="E514" s="100"/>
      <c r="F514" s="100"/>
      <c r="G514" s="100"/>
      <c r="H514" s="101"/>
      <c r="I514" s="101"/>
      <c r="J514" s="102"/>
      <c r="K514" s="102"/>
      <c r="L514" s="102"/>
      <c r="M514" s="102"/>
    </row>
    <row r="515" spans="2:13" s="98" customFormat="1" x14ac:dyDescent="0.15">
      <c r="B515" s="100"/>
      <c r="C515" s="100"/>
      <c r="D515" s="100"/>
      <c r="E515" s="100"/>
      <c r="F515" s="100"/>
      <c r="G515" s="100"/>
      <c r="H515" s="101"/>
      <c r="I515" s="101"/>
      <c r="J515" s="102"/>
      <c r="K515" s="102"/>
      <c r="L515" s="102"/>
      <c r="M515" s="102"/>
    </row>
    <row r="516" spans="2:13" s="98" customFormat="1" x14ac:dyDescent="0.15">
      <c r="B516" s="100"/>
      <c r="C516" s="100"/>
      <c r="D516" s="100"/>
      <c r="E516" s="100"/>
      <c r="F516" s="100"/>
      <c r="G516" s="100"/>
      <c r="H516" s="101"/>
      <c r="I516" s="101"/>
      <c r="J516" s="102"/>
      <c r="K516" s="102"/>
      <c r="L516" s="102"/>
      <c r="M516" s="102"/>
    </row>
    <row r="517" spans="2:13" s="98" customFormat="1" x14ac:dyDescent="0.15">
      <c r="B517" s="100"/>
      <c r="C517" s="100"/>
      <c r="D517" s="100"/>
      <c r="E517" s="100"/>
      <c r="F517" s="100"/>
      <c r="G517" s="100"/>
      <c r="H517" s="101"/>
      <c r="I517" s="101"/>
      <c r="J517" s="102"/>
      <c r="K517" s="102"/>
      <c r="L517" s="102"/>
      <c r="M517" s="102"/>
    </row>
    <row r="518" spans="2:13" s="98" customFormat="1" x14ac:dyDescent="0.15">
      <c r="B518" s="100"/>
      <c r="C518" s="100"/>
      <c r="D518" s="100"/>
      <c r="E518" s="100"/>
      <c r="F518" s="100"/>
      <c r="G518" s="100"/>
      <c r="H518" s="101"/>
      <c r="I518" s="101"/>
      <c r="J518" s="102"/>
      <c r="K518" s="102"/>
      <c r="L518" s="102"/>
      <c r="M518" s="102"/>
    </row>
    <row r="519" spans="2:13" s="98" customFormat="1" x14ac:dyDescent="0.15">
      <c r="B519" s="100"/>
      <c r="C519" s="100"/>
      <c r="D519" s="100"/>
      <c r="E519" s="100"/>
      <c r="F519" s="100"/>
      <c r="G519" s="100"/>
      <c r="H519" s="101"/>
      <c r="I519" s="101"/>
      <c r="J519" s="102"/>
      <c r="K519" s="102"/>
      <c r="L519" s="102"/>
      <c r="M519" s="102"/>
    </row>
    <row r="520" spans="2:13" s="98" customFormat="1" x14ac:dyDescent="0.15">
      <c r="B520" s="100"/>
      <c r="C520" s="100"/>
      <c r="D520" s="100"/>
      <c r="E520" s="100"/>
      <c r="F520" s="100"/>
      <c r="G520" s="100"/>
      <c r="H520" s="101"/>
      <c r="I520" s="101"/>
      <c r="J520" s="102"/>
      <c r="K520" s="102"/>
      <c r="L520" s="102"/>
      <c r="M520" s="102"/>
    </row>
    <row r="521" spans="2:13" s="98" customFormat="1" x14ac:dyDescent="0.15">
      <c r="B521" s="100"/>
      <c r="C521" s="100"/>
      <c r="D521" s="100"/>
      <c r="E521" s="100"/>
      <c r="F521" s="100"/>
      <c r="G521" s="100"/>
      <c r="H521" s="101"/>
      <c r="I521" s="101"/>
      <c r="J521" s="102"/>
      <c r="K521" s="102"/>
      <c r="L521" s="102"/>
      <c r="M521" s="102"/>
    </row>
    <row r="522" spans="2:13" s="98" customFormat="1" x14ac:dyDescent="0.15">
      <c r="B522" s="100"/>
      <c r="C522" s="100"/>
      <c r="D522" s="100"/>
      <c r="E522" s="100"/>
      <c r="F522" s="100"/>
      <c r="G522" s="100"/>
      <c r="H522" s="101"/>
      <c r="I522" s="101"/>
      <c r="J522" s="102"/>
      <c r="K522" s="102"/>
      <c r="L522" s="102"/>
      <c r="M522" s="102"/>
    </row>
    <row r="523" spans="2:13" s="98" customFormat="1" x14ac:dyDescent="0.15">
      <c r="B523" s="100"/>
      <c r="C523" s="100"/>
      <c r="D523" s="100"/>
      <c r="E523" s="100"/>
      <c r="F523" s="100"/>
      <c r="G523" s="100"/>
      <c r="H523" s="101"/>
      <c r="I523" s="101"/>
      <c r="J523" s="102"/>
      <c r="K523" s="102"/>
      <c r="L523" s="102"/>
      <c r="M523" s="102"/>
    </row>
    <row r="524" spans="2:13" s="98" customFormat="1" x14ac:dyDescent="0.15">
      <c r="B524" s="100"/>
      <c r="C524" s="100"/>
      <c r="D524" s="100"/>
      <c r="E524" s="100"/>
      <c r="F524" s="100"/>
      <c r="G524" s="100"/>
      <c r="H524" s="101"/>
      <c r="I524" s="101"/>
      <c r="J524" s="102"/>
      <c r="K524" s="102"/>
      <c r="L524" s="102"/>
      <c r="M524" s="102"/>
    </row>
    <row r="525" spans="2:13" s="98" customFormat="1" x14ac:dyDescent="0.15">
      <c r="B525" s="100"/>
      <c r="C525" s="100"/>
      <c r="D525" s="100"/>
      <c r="E525" s="100"/>
      <c r="F525" s="100"/>
      <c r="G525" s="100"/>
      <c r="H525" s="101"/>
      <c r="I525" s="101"/>
      <c r="J525" s="102"/>
      <c r="K525" s="102"/>
      <c r="L525" s="102"/>
      <c r="M525" s="102"/>
    </row>
    <row r="526" spans="2:13" s="98" customFormat="1" x14ac:dyDescent="0.15">
      <c r="B526" s="100"/>
      <c r="C526" s="100"/>
      <c r="D526" s="100"/>
      <c r="E526" s="100"/>
      <c r="F526" s="100"/>
      <c r="G526" s="100"/>
      <c r="H526" s="101"/>
      <c r="I526" s="101"/>
      <c r="J526" s="102"/>
      <c r="K526" s="102"/>
      <c r="L526" s="102"/>
      <c r="M526" s="102"/>
    </row>
    <row r="527" spans="2:13" s="98" customFormat="1" x14ac:dyDescent="0.15">
      <c r="B527" s="100"/>
      <c r="C527" s="100"/>
      <c r="D527" s="100"/>
      <c r="E527" s="100"/>
      <c r="F527" s="100"/>
      <c r="G527" s="100"/>
      <c r="H527" s="101"/>
      <c r="I527" s="101"/>
      <c r="J527" s="102"/>
      <c r="K527" s="102"/>
      <c r="L527" s="102"/>
      <c r="M527" s="102"/>
    </row>
    <row r="528" spans="2:13" s="98" customFormat="1" x14ac:dyDescent="0.15">
      <c r="B528" s="100"/>
      <c r="C528" s="100"/>
      <c r="D528" s="100"/>
      <c r="E528" s="100"/>
      <c r="F528" s="100"/>
      <c r="G528" s="100"/>
      <c r="H528" s="101"/>
      <c r="I528" s="101"/>
      <c r="J528" s="102"/>
      <c r="K528" s="102"/>
      <c r="L528" s="102"/>
      <c r="M528" s="102"/>
    </row>
    <row r="529" spans="2:13" s="98" customFormat="1" x14ac:dyDescent="0.15">
      <c r="B529" s="100"/>
      <c r="C529" s="100"/>
      <c r="D529" s="100"/>
      <c r="E529" s="100"/>
      <c r="F529" s="100"/>
      <c r="G529" s="100"/>
      <c r="H529" s="101"/>
      <c r="I529" s="101"/>
      <c r="J529" s="102"/>
      <c r="K529" s="102"/>
      <c r="L529" s="102"/>
      <c r="M529" s="102"/>
    </row>
    <row r="530" spans="2:13" s="98" customFormat="1" x14ac:dyDescent="0.15">
      <c r="B530" s="100"/>
      <c r="C530" s="100"/>
      <c r="D530" s="100"/>
      <c r="E530" s="100"/>
      <c r="F530" s="100"/>
      <c r="G530" s="100"/>
      <c r="H530" s="101"/>
      <c r="I530" s="101"/>
      <c r="J530" s="102"/>
      <c r="K530" s="102"/>
      <c r="L530" s="102"/>
      <c r="M530" s="102"/>
    </row>
    <row r="531" spans="2:13" s="98" customFormat="1" x14ac:dyDescent="0.15">
      <c r="B531" s="100"/>
      <c r="C531" s="100"/>
      <c r="D531" s="100"/>
      <c r="E531" s="100"/>
      <c r="F531" s="100"/>
      <c r="G531" s="100"/>
      <c r="H531" s="101"/>
      <c r="I531" s="101"/>
      <c r="J531" s="102"/>
      <c r="K531" s="102"/>
      <c r="L531" s="102"/>
      <c r="M531" s="102"/>
    </row>
    <row r="532" spans="2:13" s="98" customFormat="1" x14ac:dyDescent="0.15">
      <c r="B532" s="100"/>
      <c r="C532" s="100"/>
      <c r="D532" s="100"/>
      <c r="E532" s="100"/>
      <c r="F532" s="100"/>
      <c r="G532" s="100"/>
      <c r="H532" s="101"/>
      <c r="I532" s="101"/>
      <c r="J532" s="102"/>
      <c r="K532" s="102"/>
      <c r="L532" s="102"/>
      <c r="M532" s="102"/>
    </row>
    <row r="533" spans="2:13" s="98" customFormat="1" x14ac:dyDescent="0.15">
      <c r="B533" s="100"/>
      <c r="C533" s="100"/>
      <c r="D533" s="100"/>
      <c r="E533" s="100"/>
      <c r="F533" s="100"/>
      <c r="G533" s="100"/>
      <c r="H533" s="101"/>
      <c r="I533" s="101"/>
      <c r="J533" s="102"/>
      <c r="K533" s="102"/>
      <c r="L533" s="102"/>
      <c r="M533" s="102"/>
    </row>
    <row r="534" spans="2:13" s="98" customFormat="1" x14ac:dyDescent="0.15">
      <c r="B534" s="100"/>
      <c r="C534" s="100"/>
      <c r="D534" s="100"/>
      <c r="E534" s="100"/>
      <c r="F534" s="100"/>
      <c r="G534" s="100"/>
      <c r="H534" s="101"/>
      <c r="I534" s="101"/>
      <c r="J534" s="102"/>
      <c r="K534" s="102"/>
      <c r="L534" s="102"/>
      <c r="M534" s="102"/>
    </row>
    <row r="535" spans="2:13" s="98" customFormat="1" x14ac:dyDescent="0.15">
      <c r="B535" s="100"/>
      <c r="C535" s="100"/>
      <c r="D535" s="100"/>
      <c r="E535" s="100"/>
      <c r="F535" s="100"/>
      <c r="G535" s="100"/>
      <c r="H535" s="101"/>
      <c r="I535" s="101"/>
      <c r="J535" s="102"/>
      <c r="K535" s="102"/>
      <c r="L535" s="102"/>
      <c r="M535" s="102"/>
    </row>
    <row r="536" spans="2:13" s="98" customFormat="1" x14ac:dyDescent="0.15">
      <c r="B536" s="100"/>
      <c r="C536" s="100"/>
      <c r="D536" s="100"/>
      <c r="E536" s="100"/>
      <c r="F536" s="100"/>
      <c r="G536" s="100"/>
      <c r="H536" s="101"/>
      <c r="I536" s="101"/>
      <c r="J536" s="102"/>
      <c r="K536" s="102"/>
      <c r="L536" s="102"/>
      <c r="M536" s="102"/>
    </row>
    <row r="537" spans="2:13" s="98" customFormat="1" x14ac:dyDescent="0.15">
      <c r="B537" s="100"/>
      <c r="C537" s="100"/>
      <c r="D537" s="100"/>
      <c r="E537" s="100"/>
      <c r="F537" s="100"/>
      <c r="G537" s="100"/>
      <c r="H537" s="101"/>
      <c r="I537" s="101"/>
      <c r="J537" s="102"/>
      <c r="K537" s="102"/>
      <c r="L537" s="102"/>
      <c r="M537" s="102"/>
    </row>
    <row r="538" spans="2:13" s="98" customFormat="1" x14ac:dyDescent="0.15">
      <c r="B538" s="100"/>
      <c r="C538" s="100"/>
      <c r="D538" s="100"/>
      <c r="E538" s="100"/>
      <c r="F538" s="100"/>
      <c r="G538" s="100"/>
      <c r="H538" s="101"/>
      <c r="I538" s="101"/>
      <c r="J538" s="102"/>
      <c r="K538" s="102"/>
      <c r="L538" s="102"/>
      <c r="M538" s="102"/>
    </row>
    <row r="539" spans="2:13" s="98" customFormat="1" x14ac:dyDescent="0.15">
      <c r="B539" s="100"/>
      <c r="C539" s="100"/>
      <c r="D539" s="100"/>
      <c r="E539" s="100"/>
      <c r="F539" s="100"/>
      <c r="G539" s="100"/>
      <c r="H539" s="101"/>
      <c r="I539" s="101"/>
      <c r="J539" s="102"/>
      <c r="K539" s="102"/>
      <c r="L539" s="102"/>
      <c r="M539" s="102"/>
    </row>
    <row r="540" spans="2:13" s="98" customFormat="1" x14ac:dyDescent="0.15">
      <c r="B540" s="100"/>
      <c r="C540" s="100"/>
      <c r="D540" s="100"/>
      <c r="E540" s="100"/>
      <c r="F540" s="100"/>
      <c r="G540" s="100"/>
      <c r="H540" s="101"/>
      <c r="I540" s="101"/>
      <c r="J540" s="102"/>
      <c r="K540" s="102"/>
      <c r="L540" s="102"/>
      <c r="M540" s="102"/>
    </row>
    <row r="541" spans="2:13" s="98" customFormat="1" x14ac:dyDescent="0.15">
      <c r="B541" s="100"/>
      <c r="C541" s="100"/>
      <c r="D541" s="100"/>
      <c r="E541" s="100"/>
      <c r="F541" s="100"/>
      <c r="G541" s="100"/>
      <c r="H541" s="101"/>
      <c r="I541" s="101"/>
      <c r="J541" s="102"/>
      <c r="K541" s="102"/>
      <c r="L541" s="102"/>
      <c r="M541" s="102"/>
    </row>
    <row r="542" spans="2:13" s="98" customFormat="1" x14ac:dyDescent="0.15">
      <c r="B542" s="100"/>
      <c r="C542" s="100"/>
      <c r="D542" s="100"/>
      <c r="E542" s="100"/>
      <c r="F542" s="100"/>
      <c r="G542" s="100"/>
      <c r="H542" s="101"/>
      <c r="I542" s="101"/>
      <c r="J542" s="102"/>
      <c r="K542" s="102"/>
      <c r="L542" s="102"/>
      <c r="M542" s="102"/>
    </row>
    <row r="543" spans="2:13" s="98" customFormat="1" x14ac:dyDescent="0.15">
      <c r="B543" s="100"/>
      <c r="C543" s="100"/>
      <c r="D543" s="100"/>
      <c r="E543" s="100"/>
      <c r="F543" s="100"/>
      <c r="G543" s="100"/>
      <c r="H543" s="101"/>
      <c r="I543" s="101"/>
      <c r="J543" s="102"/>
      <c r="K543" s="102"/>
      <c r="L543" s="102"/>
      <c r="M543" s="102"/>
    </row>
    <row r="544" spans="2:13" s="98" customFormat="1" x14ac:dyDescent="0.15">
      <c r="B544" s="100"/>
      <c r="C544" s="100"/>
      <c r="D544" s="100"/>
      <c r="E544" s="100"/>
      <c r="F544" s="100"/>
      <c r="G544" s="100"/>
      <c r="H544" s="101"/>
      <c r="I544" s="101"/>
      <c r="J544" s="102"/>
      <c r="K544" s="102"/>
      <c r="L544" s="102"/>
      <c r="M544" s="102"/>
    </row>
    <row r="545" spans="2:13" s="98" customFormat="1" x14ac:dyDescent="0.15">
      <c r="B545" s="100"/>
      <c r="C545" s="100"/>
      <c r="D545" s="100"/>
      <c r="E545" s="100"/>
      <c r="F545" s="100"/>
      <c r="G545" s="100"/>
      <c r="H545" s="101"/>
      <c r="I545" s="101"/>
      <c r="J545" s="102"/>
      <c r="K545" s="102"/>
      <c r="L545" s="102"/>
      <c r="M545" s="102"/>
    </row>
    <row r="546" spans="2:13" s="98" customFormat="1" x14ac:dyDescent="0.15">
      <c r="B546" s="100"/>
      <c r="C546" s="100"/>
      <c r="D546" s="100"/>
      <c r="E546" s="100"/>
      <c r="F546" s="100"/>
      <c r="G546" s="100"/>
      <c r="H546" s="101"/>
      <c r="I546" s="101"/>
      <c r="J546" s="102"/>
      <c r="K546" s="102"/>
      <c r="L546" s="102"/>
      <c r="M546" s="102"/>
    </row>
    <row r="547" spans="2:13" s="98" customFormat="1" x14ac:dyDescent="0.15">
      <c r="B547" s="100"/>
      <c r="C547" s="100"/>
      <c r="D547" s="100"/>
      <c r="E547" s="100"/>
      <c r="F547" s="100"/>
      <c r="G547" s="100"/>
      <c r="H547" s="101"/>
      <c r="I547" s="101"/>
      <c r="J547" s="102"/>
      <c r="K547" s="102"/>
      <c r="L547" s="102"/>
      <c r="M547" s="102"/>
    </row>
    <row r="548" spans="2:13" s="98" customFormat="1" x14ac:dyDescent="0.15">
      <c r="B548" s="100"/>
      <c r="C548" s="100"/>
      <c r="D548" s="100"/>
      <c r="E548" s="100"/>
      <c r="F548" s="100"/>
      <c r="G548" s="100"/>
      <c r="H548" s="101"/>
      <c r="I548" s="101"/>
      <c r="J548" s="102"/>
      <c r="K548" s="102"/>
      <c r="L548" s="102"/>
      <c r="M548" s="102"/>
    </row>
    <row r="549" spans="2:13" s="98" customFormat="1" x14ac:dyDescent="0.15">
      <c r="B549" s="100"/>
      <c r="C549" s="100"/>
      <c r="D549" s="100"/>
      <c r="E549" s="100"/>
      <c r="F549" s="100"/>
      <c r="G549" s="100"/>
      <c r="H549" s="101"/>
      <c r="I549" s="101"/>
      <c r="J549" s="102"/>
      <c r="K549" s="102"/>
      <c r="L549" s="102"/>
      <c r="M549" s="102"/>
    </row>
    <row r="550" spans="2:13" s="98" customFormat="1" x14ac:dyDescent="0.15">
      <c r="B550" s="100"/>
      <c r="C550" s="100"/>
      <c r="D550" s="100"/>
      <c r="E550" s="100"/>
      <c r="F550" s="100"/>
      <c r="G550" s="100"/>
      <c r="H550" s="101"/>
      <c r="I550" s="101"/>
      <c r="J550" s="102"/>
      <c r="K550" s="102"/>
      <c r="L550" s="102"/>
      <c r="M550" s="102"/>
    </row>
    <row r="551" spans="2:13" s="98" customFormat="1" x14ac:dyDescent="0.15">
      <c r="B551" s="100"/>
      <c r="C551" s="100"/>
      <c r="D551" s="100"/>
      <c r="E551" s="100"/>
      <c r="F551" s="100"/>
      <c r="G551" s="100"/>
      <c r="H551" s="101"/>
      <c r="I551" s="101"/>
      <c r="J551" s="102"/>
      <c r="K551" s="102"/>
      <c r="L551" s="102"/>
      <c r="M551" s="102"/>
    </row>
    <row r="552" spans="2:13" s="98" customFormat="1" x14ac:dyDescent="0.15">
      <c r="B552" s="100"/>
      <c r="C552" s="100"/>
      <c r="D552" s="100"/>
      <c r="E552" s="100"/>
      <c r="F552" s="100"/>
      <c r="G552" s="100"/>
      <c r="H552" s="101"/>
      <c r="I552" s="101"/>
      <c r="J552" s="102"/>
      <c r="K552" s="102"/>
      <c r="L552" s="102"/>
      <c r="M552" s="102"/>
    </row>
    <row r="553" spans="2:13" s="98" customFormat="1" x14ac:dyDescent="0.15">
      <c r="B553" s="100"/>
      <c r="C553" s="100"/>
      <c r="D553" s="100"/>
      <c r="E553" s="100"/>
      <c r="F553" s="100"/>
      <c r="G553" s="100"/>
      <c r="H553" s="101"/>
      <c r="I553" s="101"/>
      <c r="J553" s="102"/>
      <c r="K553" s="102"/>
      <c r="L553" s="102"/>
      <c r="M553" s="102"/>
    </row>
    <row r="554" spans="2:13" s="98" customFormat="1" x14ac:dyDescent="0.15">
      <c r="B554" s="100"/>
      <c r="C554" s="100"/>
      <c r="D554" s="100"/>
      <c r="E554" s="100"/>
      <c r="F554" s="100"/>
      <c r="G554" s="100"/>
      <c r="H554" s="101"/>
      <c r="I554" s="101"/>
      <c r="J554" s="102"/>
      <c r="K554" s="102"/>
      <c r="L554" s="102"/>
      <c r="M554" s="102"/>
    </row>
    <row r="555" spans="2:13" s="98" customFormat="1" x14ac:dyDescent="0.15">
      <c r="B555" s="100"/>
      <c r="C555" s="100"/>
      <c r="D555" s="100"/>
      <c r="E555" s="100"/>
      <c r="F555" s="100"/>
      <c r="G555" s="100"/>
      <c r="H555" s="101"/>
      <c r="I555" s="101"/>
      <c r="J555" s="102"/>
      <c r="K555" s="102"/>
      <c r="L555" s="102"/>
      <c r="M555" s="102"/>
    </row>
    <row r="556" spans="2:13" s="98" customFormat="1" x14ac:dyDescent="0.15">
      <c r="B556" s="100"/>
      <c r="C556" s="100"/>
      <c r="D556" s="100"/>
      <c r="E556" s="100"/>
      <c r="F556" s="100"/>
      <c r="G556" s="100"/>
      <c r="H556" s="101"/>
      <c r="I556" s="101"/>
      <c r="J556" s="102"/>
      <c r="K556" s="102"/>
      <c r="L556" s="102"/>
      <c r="M556" s="102"/>
    </row>
    <row r="557" spans="2:13" s="98" customFormat="1" x14ac:dyDescent="0.15">
      <c r="B557" s="100"/>
      <c r="C557" s="100"/>
      <c r="D557" s="100"/>
      <c r="E557" s="100"/>
      <c r="F557" s="100"/>
      <c r="G557" s="100"/>
      <c r="H557" s="101"/>
      <c r="I557" s="101"/>
      <c r="J557" s="102"/>
      <c r="K557" s="102"/>
      <c r="L557" s="102"/>
      <c r="M557" s="102"/>
    </row>
    <row r="558" spans="2:13" s="98" customFormat="1" x14ac:dyDescent="0.15">
      <c r="B558" s="100"/>
      <c r="C558" s="100"/>
      <c r="D558" s="100"/>
      <c r="E558" s="100"/>
      <c r="F558" s="100"/>
      <c r="G558" s="100"/>
      <c r="H558" s="101"/>
      <c r="I558" s="101"/>
      <c r="J558" s="102"/>
      <c r="K558" s="102"/>
      <c r="L558" s="102"/>
      <c r="M558" s="102"/>
    </row>
    <row r="559" spans="2:13" s="98" customFormat="1" x14ac:dyDescent="0.15">
      <c r="B559" s="100"/>
      <c r="C559" s="100"/>
      <c r="D559" s="100"/>
      <c r="E559" s="100"/>
      <c r="F559" s="100"/>
      <c r="G559" s="100"/>
      <c r="H559" s="101"/>
      <c r="I559" s="101"/>
      <c r="J559" s="102"/>
      <c r="K559" s="102"/>
      <c r="L559" s="102"/>
      <c r="M559" s="102"/>
    </row>
    <row r="560" spans="2:13" s="98" customFormat="1" x14ac:dyDescent="0.15">
      <c r="B560" s="100"/>
      <c r="C560" s="100"/>
      <c r="D560" s="100"/>
      <c r="E560" s="100"/>
      <c r="F560" s="100"/>
      <c r="G560" s="100"/>
      <c r="H560" s="101"/>
      <c r="I560" s="101"/>
      <c r="J560" s="102"/>
      <c r="K560" s="102"/>
      <c r="L560" s="102"/>
      <c r="M560" s="102"/>
    </row>
    <row r="561" spans="2:13" s="98" customFormat="1" x14ac:dyDescent="0.15">
      <c r="B561" s="100"/>
      <c r="C561" s="100"/>
      <c r="D561" s="100"/>
      <c r="E561" s="100"/>
      <c r="F561" s="100"/>
      <c r="G561" s="100"/>
      <c r="H561" s="101"/>
      <c r="I561" s="101"/>
      <c r="J561" s="102"/>
      <c r="K561" s="102"/>
      <c r="L561" s="102"/>
      <c r="M561" s="102"/>
    </row>
    <row r="562" spans="2:13" s="98" customFormat="1" x14ac:dyDescent="0.15">
      <c r="B562" s="100"/>
      <c r="C562" s="100"/>
      <c r="D562" s="100"/>
      <c r="E562" s="100"/>
      <c r="F562" s="100"/>
      <c r="G562" s="100"/>
      <c r="H562" s="101"/>
      <c r="I562" s="101"/>
      <c r="J562" s="102"/>
      <c r="K562" s="102"/>
      <c r="L562" s="102"/>
      <c r="M562" s="102"/>
    </row>
    <row r="563" spans="2:13" s="98" customFormat="1" x14ac:dyDescent="0.15">
      <c r="B563" s="100"/>
      <c r="C563" s="100"/>
      <c r="D563" s="100"/>
      <c r="E563" s="100"/>
      <c r="F563" s="100"/>
      <c r="G563" s="100"/>
      <c r="H563" s="101"/>
      <c r="I563" s="101"/>
      <c r="J563" s="102"/>
      <c r="K563" s="102"/>
      <c r="L563" s="102"/>
      <c r="M563" s="102"/>
    </row>
    <row r="564" spans="2:13" s="98" customFormat="1" x14ac:dyDescent="0.15">
      <c r="B564" s="100"/>
      <c r="C564" s="100"/>
      <c r="D564" s="100"/>
      <c r="E564" s="100"/>
      <c r="F564" s="100"/>
      <c r="G564" s="100"/>
      <c r="H564" s="101"/>
      <c r="I564" s="101"/>
      <c r="J564" s="102"/>
      <c r="K564" s="102"/>
      <c r="L564" s="102"/>
      <c r="M564" s="102"/>
    </row>
    <row r="565" spans="2:13" s="98" customFormat="1" x14ac:dyDescent="0.15">
      <c r="B565" s="100"/>
      <c r="C565" s="100"/>
      <c r="D565" s="100"/>
      <c r="E565" s="100"/>
      <c r="F565" s="100"/>
      <c r="G565" s="100"/>
      <c r="H565" s="101"/>
      <c r="I565" s="101"/>
      <c r="J565" s="102"/>
      <c r="K565" s="102"/>
      <c r="L565" s="102"/>
      <c r="M565" s="102"/>
    </row>
    <row r="566" spans="2:13" s="98" customFormat="1" x14ac:dyDescent="0.15">
      <c r="B566" s="100"/>
      <c r="C566" s="100"/>
      <c r="D566" s="100"/>
      <c r="E566" s="100"/>
      <c r="F566" s="100"/>
      <c r="G566" s="100"/>
      <c r="H566" s="101"/>
      <c r="I566" s="101"/>
      <c r="J566" s="102"/>
      <c r="K566" s="102"/>
      <c r="L566" s="102"/>
      <c r="M566" s="102"/>
    </row>
    <row r="567" spans="2:13" s="98" customFormat="1" x14ac:dyDescent="0.15">
      <c r="B567" s="100"/>
      <c r="C567" s="100"/>
      <c r="D567" s="100"/>
      <c r="E567" s="100"/>
      <c r="F567" s="100"/>
      <c r="G567" s="100"/>
      <c r="H567" s="101"/>
      <c r="I567" s="101"/>
      <c r="J567" s="102"/>
      <c r="K567" s="102"/>
      <c r="L567" s="102"/>
      <c r="M567" s="102"/>
    </row>
    <row r="568" spans="2:13" s="98" customFormat="1" x14ac:dyDescent="0.15">
      <c r="B568" s="100"/>
      <c r="C568" s="100"/>
      <c r="D568" s="100"/>
      <c r="E568" s="100"/>
      <c r="F568" s="100"/>
      <c r="G568" s="100"/>
      <c r="H568" s="101"/>
      <c r="I568" s="101"/>
      <c r="J568" s="102"/>
      <c r="K568" s="102"/>
      <c r="L568" s="102"/>
      <c r="M568" s="102"/>
    </row>
    <row r="569" spans="2:13" s="98" customFormat="1" x14ac:dyDescent="0.15">
      <c r="B569" s="100"/>
      <c r="C569" s="100"/>
      <c r="D569" s="100"/>
      <c r="E569" s="100"/>
      <c r="F569" s="100"/>
      <c r="G569" s="100"/>
      <c r="H569" s="101"/>
      <c r="I569" s="101"/>
      <c r="J569" s="102"/>
      <c r="K569" s="102"/>
      <c r="L569" s="102"/>
      <c r="M569" s="102"/>
    </row>
    <row r="570" spans="2:13" s="98" customFormat="1" x14ac:dyDescent="0.15">
      <c r="B570" s="100"/>
      <c r="C570" s="100"/>
      <c r="D570" s="100"/>
      <c r="E570" s="100"/>
      <c r="F570" s="100"/>
      <c r="G570" s="100"/>
      <c r="H570" s="101"/>
      <c r="I570" s="101"/>
      <c r="J570" s="102"/>
      <c r="K570" s="102"/>
      <c r="L570" s="102"/>
      <c r="M570" s="102"/>
    </row>
    <row r="571" spans="2:13" s="98" customFormat="1" x14ac:dyDescent="0.15">
      <c r="B571" s="100"/>
      <c r="C571" s="100"/>
      <c r="D571" s="100"/>
      <c r="E571" s="100"/>
      <c r="F571" s="100"/>
      <c r="G571" s="100"/>
      <c r="H571" s="101"/>
      <c r="I571" s="101"/>
      <c r="J571" s="102"/>
      <c r="K571" s="102"/>
      <c r="L571" s="102"/>
      <c r="M571" s="102"/>
    </row>
    <row r="572" spans="2:13" s="98" customFormat="1" x14ac:dyDescent="0.15">
      <c r="B572" s="100"/>
      <c r="C572" s="100"/>
      <c r="D572" s="100"/>
      <c r="E572" s="100"/>
      <c r="F572" s="100"/>
      <c r="G572" s="100"/>
      <c r="H572" s="101"/>
      <c r="I572" s="101"/>
      <c r="J572" s="102"/>
      <c r="K572" s="102"/>
      <c r="L572" s="102"/>
      <c r="M572" s="102"/>
    </row>
    <row r="573" spans="2:13" s="98" customFormat="1" x14ac:dyDescent="0.15">
      <c r="B573" s="100"/>
      <c r="C573" s="100"/>
      <c r="D573" s="100"/>
      <c r="E573" s="100"/>
      <c r="F573" s="100"/>
      <c r="G573" s="100"/>
      <c r="H573" s="101"/>
      <c r="I573" s="101"/>
      <c r="J573" s="102"/>
      <c r="K573" s="102"/>
      <c r="L573" s="102"/>
      <c r="M573" s="102"/>
    </row>
    <row r="574" spans="2:13" s="98" customFormat="1" x14ac:dyDescent="0.15">
      <c r="B574" s="100"/>
      <c r="C574" s="100"/>
      <c r="D574" s="100"/>
      <c r="E574" s="100"/>
      <c r="F574" s="100"/>
      <c r="G574" s="100"/>
      <c r="H574" s="101"/>
      <c r="I574" s="101"/>
      <c r="J574" s="102"/>
      <c r="K574" s="102"/>
      <c r="L574" s="102"/>
      <c r="M574" s="102"/>
    </row>
    <row r="575" spans="2:13" s="98" customFormat="1" x14ac:dyDescent="0.15">
      <c r="B575" s="100"/>
      <c r="C575" s="100"/>
      <c r="D575" s="100"/>
      <c r="E575" s="100"/>
      <c r="F575" s="100"/>
      <c r="G575" s="100"/>
      <c r="H575" s="101"/>
      <c r="I575" s="101"/>
      <c r="J575" s="102"/>
      <c r="K575" s="102"/>
      <c r="L575" s="102"/>
      <c r="M575" s="102"/>
    </row>
    <row r="576" spans="2:13" s="98" customFormat="1" x14ac:dyDescent="0.15">
      <c r="B576" s="100"/>
      <c r="C576" s="100"/>
      <c r="D576" s="100"/>
      <c r="E576" s="100"/>
      <c r="F576" s="100"/>
      <c r="G576" s="100"/>
      <c r="H576" s="101"/>
      <c r="I576" s="101"/>
      <c r="J576" s="102"/>
      <c r="K576" s="102"/>
      <c r="L576" s="102"/>
      <c r="M576" s="102"/>
    </row>
    <row r="577" spans="2:13" s="98" customFormat="1" x14ac:dyDescent="0.15">
      <c r="B577" s="100"/>
      <c r="C577" s="100"/>
      <c r="D577" s="100"/>
      <c r="E577" s="100"/>
      <c r="F577" s="100"/>
      <c r="G577" s="100"/>
      <c r="H577" s="101"/>
      <c r="I577" s="101"/>
      <c r="J577" s="102"/>
      <c r="K577" s="102"/>
      <c r="L577" s="102"/>
      <c r="M577" s="102"/>
    </row>
    <row r="578" spans="2:13" s="98" customFormat="1" x14ac:dyDescent="0.15">
      <c r="B578" s="100"/>
      <c r="C578" s="100"/>
      <c r="D578" s="100"/>
      <c r="E578" s="100"/>
      <c r="F578" s="100"/>
      <c r="G578" s="100"/>
      <c r="H578" s="101"/>
      <c r="I578" s="101"/>
      <c r="J578" s="102"/>
      <c r="K578" s="102"/>
      <c r="L578" s="102"/>
      <c r="M578" s="102"/>
    </row>
    <row r="579" spans="2:13" s="98" customFormat="1" x14ac:dyDescent="0.15">
      <c r="B579" s="100"/>
      <c r="C579" s="100"/>
      <c r="D579" s="100"/>
      <c r="E579" s="100"/>
      <c r="F579" s="100"/>
      <c r="G579" s="100"/>
      <c r="H579" s="101"/>
      <c r="I579" s="101"/>
      <c r="J579" s="102"/>
      <c r="K579" s="102"/>
      <c r="L579" s="102"/>
      <c r="M579" s="102"/>
    </row>
    <row r="580" spans="2:13" s="98" customFormat="1" x14ac:dyDescent="0.15">
      <c r="B580" s="100"/>
      <c r="C580" s="100"/>
      <c r="D580" s="100"/>
      <c r="E580" s="100"/>
      <c r="F580" s="100"/>
      <c r="G580" s="100"/>
      <c r="H580" s="101"/>
      <c r="I580" s="101"/>
      <c r="J580" s="102"/>
      <c r="K580" s="102"/>
      <c r="L580" s="102"/>
      <c r="M580" s="102"/>
    </row>
    <row r="581" spans="2:13" s="98" customFormat="1" x14ac:dyDescent="0.15">
      <c r="B581" s="100"/>
      <c r="C581" s="100"/>
      <c r="D581" s="100"/>
      <c r="E581" s="100"/>
      <c r="F581" s="100"/>
      <c r="G581" s="100"/>
      <c r="H581" s="101"/>
      <c r="I581" s="101"/>
      <c r="J581" s="102"/>
      <c r="K581" s="102"/>
      <c r="L581" s="102"/>
      <c r="M581" s="102"/>
    </row>
    <row r="582" spans="2:13" s="98" customFormat="1" x14ac:dyDescent="0.15">
      <c r="B582" s="100"/>
      <c r="C582" s="100"/>
      <c r="D582" s="100"/>
      <c r="E582" s="100"/>
      <c r="F582" s="100"/>
      <c r="G582" s="100"/>
      <c r="H582" s="101"/>
      <c r="I582" s="101"/>
      <c r="J582" s="102"/>
      <c r="K582" s="102"/>
      <c r="L582" s="102"/>
      <c r="M582" s="102"/>
    </row>
    <row r="583" spans="2:13" s="98" customFormat="1" x14ac:dyDescent="0.15">
      <c r="B583" s="100"/>
      <c r="C583" s="100"/>
      <c r="D583" s="100"/>
      <c r="E583" s="100"/>
      <c r="F583" s="100"/>
      <c r="G583" s="100"/>
      <c r="H583" s="101"/>
      <c r="I583" s="101"/>
      <c r="J583" s="102"/>
      <c r="K583" s="102"/>
      <c r="L583" s="102"/>
      <c r="M583" s="102"/>
    </row>
    <row r="584" spans="2:13" s="98" customFormat="1" x14ac:dyDescent="0.15">
      <c r="B584" s="100"/>
      <c r="C584" s="100"/>
      <c r="D584" s="100"/>
      <c r="E584" s="100"/>
      <c r="F584" s="100"/>
      <c r="G584" s="100"/>
      <c r="H584" s="101"/>
      <c r="I584" s="101"/>
      <c r="J584" s="102"/>
      <c r="K584" s="102"/>
      <c r="L584" s="102"/>
      <c r="M584" s="102"/>
    </row>
    <row r="585" spans="2:13" s="98" customFormat="1" x14ac:dyDescent="0.15">
      <c r="B585" s="100"/>
      <c r="C585" s="100"/>
      <c r="D585" s="100"/>
      <c r="E585" s="100"/>
      <c r="F585" s="100"/>
      <c r="G585" s="100"/>
      <c r="H585" s="101"/>
      <c r="I585" s="101"/>
      <c r="J585" s="102"/>
      <c r="K585" s="102"/>
      <c r="L585" s="102"/>
      <c r="M585" s="102"/>
    </row>
    <row r="586" spans="2:13" s="98" customFormat="1" x14ac:dyDescent="0.15">
      <c r="B586" s="100"/>
      <c r="C586" s="100"/>
      <c r="D586" s="100"/>
      <c r="E586" s="100"/>
      <c r="F586" s="100"/>
      <c r="G586" s="100"/>
      <c r="H586" s="101"/>
      <c r="I586" s="101"/>
      <c r="J586" s="102"/>
      <c r="K586" s="102"/>
      <c r="L586" s="102"/>
      <c r="M586" s="102"/>
    </row>
    <row r="587" spans="2:13" s="98" customFormat="1" x14ac:dyDescent="0.15">
      <c r="B587" s="100"/>
      <c r="C587" s="100"/>
      <c r="D587" s="100"/>
      <c r="E587" s="100"/>
      <c r="F587" s="100"/>
      <c r="G587" s="100"/>
      <c r="H587" s="101"/>
      <c r="I587" s="101"/>
      <c r="J587" s="102"/>
      <c r="K587" s="102"/>
      <c r="L587" s="102"/>
      <c r="M587" s="102"/>
    </row>
    <row r="588" spans="2:13" s="98" customFormat="1" x14ac:dyDescent="0.15">
      <c r="B588" s="100"/>
      <c r="C588" s="100"/>
      <c r="D588" s="100"/>
      <c r="E588" s="100"/>
      <c r="F588" s="100"/>
      <c r="G588" s="100"/>
      <c r="H588" s="101"/>
      <c r="I588" s="101"/>
      <c r="J588" s="102"/>
      <c r="K588" s="102"/>
      <c r="L588" s="102"/>
      <c r="M588" s="102"/>
    </row>
    <row r="589" spans="2:13" s="98" customFormat="1" x14ac:dyDescent="0.15">
      <c r="B589" s="100"/>
      <c r="C589" s="100"/>
      <c r="D589" s="100"/>
      <c r="E589" s="100"/>
      <c r="F589" s="100"/>
      <c r="G589" s="100"/>
      <c r="H589" s="101"/>
      <c r="I589" s="101"/>
      <c r="J589" s="102"/>
      <c r="K589" s="102"/>
      <c r="L589" s="102"/>
      <c r="M589" s="102"/>
    </row>
    <row r="590" spans="2:13" s="98" customFormat="1" x14ac:dyDescent="0.15">
      <c r="B590" s="100"/>
      <c r="C590" s="100"/>
      <c r="D590" s="100"/>
      <c r="E590" s="100"/>
      <c r="F590" s="100"/>
      <c r="G590" s="100"/>
      <c r="H590" s="101"/>
      <c r="I590" s="101"/>
      <c r="J590" s="102"/>
      <c r="K590" s="102"/>
      <c r="L590" s="102"/>
      <c r="M590" s="102"/>
    </row>
    <row r="591" spans="2:13" s="98" customFormat="1" x14ac:dyDescent="0.15">
      <c r="B591" s="100"/>
      <c r="C591" s="100"/>
      <c r="D591" s="100"/>
      <c r="E591" s="100"/>
      <c r="F591" s="100"/>
      <c r="G591" s="100"/>
      <c r="H591" s="101"/>
      <c r="I591" s="101"/>
      <c r="J591" s="102"/>
      <c r="K591" s="102"/>
      <c r="L591" s="102"/>
      <c r="M591" s="102"/>
    </row>
    <row r="592" spans="2:13" s="98" customFormat="1" x14ac:dyDescent="0.15">
      <c r="B592" s="100"/>
      <c r="C592" s="100"/>
      <c r="D592" s="100"/>
      <c r="E592" s="100"/>
      <c r="F592" s="100"/>
      <c r="G592" s="100"/>
      <c r="H592" s="101"/>
      <c r="I592" s="101"/>
      <c r="J592" s="102"/>
      <c r="K592" s="102"/>
      <c r="L592" s="102"/>
      <c r="M592" s="102"/>
    </row>
    <row r="593" spans="2:13" s="98" customFormat="1" x14ac:dyDescent="0.15">
      <c r="B593" s="100"/>
      <c r="C593" s="100"/>
      <c r="D593" s="100"/>
      <c r="E593" s="100"/>
      <c r="F593" s="100"/>
      <c r="G593" s="100"/>
      <c r="H593" s="101"/>
      <c r="I593" s="101"/>
      <c r="J593" s="102"/>
      <c r="K593" s="102"/>
      <c r="L593" s="102"/>
      <c r="M593" s="102"/>
    </row>
    <row r="594" spans="2:13" s="98" customFormat="1" x14ac:dyDescent="0.15">
      <c r="B594" s="100"/>
      <c r="C594" s="100"/>
      <c r="D594" s="100"/>
      <c r="E594" s="100"/>
      <c r="F594" s="100"/>
      <c r="G594" s="100"/>
      <c r="H594" s="101"/>
      <c r="I594" s="101"/>
      <c r="J594" s="102"/>
      <c r="K594" s="102"/>
      <c r="L594" s="102"/>
      <c r="M594" s="102"/>
    </row>
    <row r="595" spans="2:13" s="98" customFormat="1" x14ac:dyDescent="0.15">
      <c r="B595" s="100"/>
      <c r="C595" s="100"/>
      <c r="D595" s="100"/>
      <c r="E595" s="100"/>
      <c r="F595" s="100"/>
      <c r="G595" s="100"/>
      <c r="H595" s="101"/>
      <c r="I595" s="101"/>
      <c r="J595" s="102"/>
      <c r="K595" s="102"/>
      <c r="L595" s="102"/>
      <c r="M595" s="102"/>
    </row>
    <row r="596" spans="2:13" s="98" customFormat="1" x14ac:dyDescent="0.15">
      <c r="B596" s="100"/>
      <c r="C596" s="100"/>
      <c r="D596" s="100"/>
      <c r="E596" s="100"/>
      <c r="F596" s="100"/>
      <c r="G596" s="100"/>
      <c r="H596" s="101"/>
      <c r="I596" s="101"/>
      <c r="J596" s="102"/>
      <c r="K596" s="102"/>
      <c r="L596" s="102"/>
      <c r="M596" s="102"/>
    </row>
    <row r="597" spans="2:13" s="98" customFormat="1" x14ac:dyDescent="0.15">
      <c r="B597" s="100"/>
      <c r="C597" s="100"/>
      <c r="D597" s="100"/>
      <c r="E597" s="100"/>
      <c r="F597" s="100"/>
      <c r="G597" s="100"/>
      <c r="H597" s="101"/>
      <c r="I597" s="101"/>
      <c r="J597" s="102"/>
      <c r="K597" s="102"/>
      <c r="L597" s="102"/>
      <c r="M597" s="102"/>
    </row>
    <row r="598" spans="2:13" s="98" customFormat="1" x14ac:dyDescent="0.15">
      <c r="B598" s="100"/>
      <c r="C598" s="100"/>
      <c r="D598" s="100"/>
      <c r="E598" s="100"/>
      <c r="F598" s="100"/>
      <c r="G598" s="100"/>
      <c r="H598" s="101"/>
      <c r="I598" s="101"/>
      <c r="J598" s="102"/>
      <c r="K598" s="102"/>
      <c r="L598" s="102"/>
      <c r="M598" s="102"/>
    </row>
    <row r="599" spans="2:13" s="98" customFormat="1" x14ac:dyDescent="0.15">
      <c r="B599" s="100"/>
      <c r="C599" s="100"/>
      <c r="D599" s="100"/>
      <c r="E599" s="100"/>
      <c r="F599" s="100"/>
      <c r="G599" s="100"/>
      <c r="H599" s="101"/>
      <c r="I599" s="101"/>
      <c r="J599" s="102"/>
      <c r="K599" s="102"/>
      <c r="L599" s="102"/>
      <c r="M599" s="102"/>
    </row>
    <row r="600" spans="2:13" s="98" customFormat="1" x14ac:dyDescent="0.15">
      <c r="B600" s="100"/>
      <c r="C600" s="100"/>
      <c r="D600" s="100"/>
      <c r="E600" s="100"/>
      <c r="F600" s="100"/>
      <c r="G600" s="100"/>
      <c r="H600" s="101"/>
      <c r="I600" s="101"/>
      <c r="J600" s="102"/>
      <c r="K600" s="102"/>
      <c r="L600" s="102"/>
      <c r="M600" s="102"/>
    </row>
    <row r="601" spans="2:13" s="98" customFormat="1" x14ac:dyDescent="0.15">
      <c r="B601" s="100"/>
      <c r="C601" s="100"/>
      <c r="D601" s="100"/>
      <c r="E601" s="100"/>
      <c r="F601" s="100"/>
      <c r="G601" s="100"/>
      <c r="H601" s="101"/>
      <c r="I601" s="101"/>
      <c r="J601" s="102"/>
      <c r="K601" s="102"/>
      <c r="L601" s="102"/>
      <c r="M601" s="102"/>
    </row>
    <row r="602" spans="2:13" s="98" customFormat="1" x14ac:dyDescent="0.15">
      <c r="B602" s="100"/>
      <c r="C602" s="100"/>
      <c r="D602" s="100"/>
      <c r="E602" s="100"/>
      <c r="F602" s="100"/>
      <c r="G602" s="100"/>
      <c r="H602" s="101"/>
      <c r="I602" s="101"/>
      <c r="J602" s="102"/>
      <c r="K602" s="102"/>
      <c r="L602" s="102"/>
      <c r="M602" s="102"/>
    </row>
    <row r="603" spans="2:13" s="98" customFormat="1" x14ac:dyDescent="0.15">
      <c r="B603" s="100"/>
      <c r="C603" s="100"/>
      <c r="D603" s="100"/>
      <c r="E603" s="100"/>
      <c r="F603" s="100"/>
      <c r="G603" s="100"/>
      <c r="H603" s="101"/>
      <c r="I603" s="101"/>
      <c r="J603" s="102"/>
      <c r="K603" s="102"/>
      <c r="L603" s="102"/>
      <c r="M603" s="102"/>
    </row>
    <row r="604" spans="2:13" s="98" customFormat="1" x14ac:dyDescent="0.15">
      <c r="B604" s="100"/>
      <c r="C604" s="100"/>
      <c r="D604" s="100"/>
      <c r="E604" s="100"/>
      <c r="F604" s="100"/>
      <c r="G604" s="100"/>
      <c r="H604" s="101"/>
      <c r="I604" s="101"/>
      <c r="J604" s="102"/>
      <c r="K604" s="102"/>
      <c r="L604" s="102"/>
      <c r="M604" s="102"/>
    </row>
    <row r="605" spans="2:13" s="98" customFormat="1" x14ac:dyDescent="0.15">
      <c r="B605" s="100"/>
      <c r="C605" s="100"/>
      <c r="D605" s="100"/>
      <c r="E605" s="100"/>
      <c r="F605" s="100"/>
      <c r="G605" s="100"/>
      <c r="H605" s="101"/>
      <c r="I605" s="101"/>
      <c r="J605" s="102"/>
      <c r="K605" s="102"/>
      <c r="L605" s="102"/>
      <c r="M605" s="102"/>
    </row>
    <row r="606" spans="2:13" s="98" customFormat="1" x14ac:dyDescent="0.15">
      <c r="B606" s="100"/>
      <c r="C606" s="100"/>
      <c r="D606" s="100"/>
      <c r="E606" s="100"/>
      <c r="F606" s="100"/>
      <c r="G606" s="100"/>
      <c r="H606" s="101"/>
      <c r="I606" s="101"/>
      <c r="J606" s="102"/>
      <c r="K606" s="102"/>
      <c r="L606" s="102"/>
      <c r="M606" s="102"/>
    </row>
    <row r="607" spans="2:13" s="98" customFormat="1" x14ac:dyDescent="0.15">
      <c r="B607" s="100"/>
      <c r="C607" s="100"/>
      <c r="D607" s="100"/>
      <c r="E607" s="100"/>
      <c r="F607" s="100"/>
      <c r="G607" s="100"/>
      <c r="H607" s="101"/>
      <c r="I607" s="101"/>
      <c r="J607" s="102"/>
      <c r="K607" s="102"/>
      <c r="L607" s="102"/>
      <c r="M607" s="102"/>
    </row>
    <row r="608" spans="2:13" s="98" customFormat="1" x14ac:dyDescent="0.15">
      <c r="B608" s="100"/>
      <c r="C608" s="100"/>
      <c r="D608" s="100"/>
      <c r="E608" s="100"/>
      <c r="F608" s="100"/>
      <c r="G608" s="100"/>
      <c r="H608" s="101"/>
      <c r="I608" s="101"/>
      <c r="J608" s="102"/>
      <c r="K608" s="102"/>
      <c r="L608" s="102"/>
      <c r="M608" s="102"/>
    </row>
    <row r="609" spans="2:13" s="98" customFormat="1" x14ac:dyDescent="0.15">
      <c r="B609" s="100"/>
      <c r="C609" s="100"/>
      <c r="D609" s="100"/>
      <c r="E609" s="100"/>
      <c r="F609" s="100"/>
      <c r="G609" s="100"/>
      <c r="H609" s="101"/>
      <c r="I609" s="101"/>
      <c r="J609" s="102"/>
      <c r="K609" s="102"/>
      <c r="L609" s="102"/>
      <c r="M609" s="102"/>
    </row>
    <row r="610" spans="2:13" s="98" customFormat="1" x14ac:dyDescent="0.15">
      <c r="B610" s="100"/>
      <c r="C610" s="100"/>
      <c r="D610" s="100"/>
      <c r="E610" s="100"/>
      <c r="F610" s="100"/>
      <c r="G610" s="100"/>
      <c r="H610" s="101"/>
      <c r="I610" s="101"/>
      <c r="J610" s="102"/>
      <c r="K610" s="102"/>
      <c r="L610" s="102"/>
      <c r="M610" s="102"/>
    </row>
    <row r="611" spans="2:13" s="98" customFormat="1" x14ac:dyDescent="0.15">
      <c r="B611" s="100"/>
      <c r="C611" s="100"/>
      <c r="D611" s="100"/>
      <c r="E611" s="100"/>
      <c r="F611" s="100"/>
      <c r="G611" s="100"/>
      <c r="H611" s="101"/>
      <c r="I611" s="101"/>
      <c r="J611" s="102"/>
      <c r="K611" s="102"/>
      <c r="L611" s="102"/>
      <c r="M611" s="102"/>
    </row>
    <row r="612" spans="2:13" s="98" customFormat="1" x14ac:dyDescent="0.15">
      <c r="B612" s="100"/>
      <c r="C612" s="100"/>
      <c r="D612" s="100"/>
      <c r="E612" s="100"/>
      <c r="F612" s="100"/>
      <c r="G612" s="100"/>
      <c r="H612" s="101"/>
      <c r="I612" s="101"/>
      <c r="J612" s="102"/>
      <c r="K612" s="102"/>
      <c r="L612" s="102"/>
      <c r="M612" s="102"/>
    </row>
    <row r="613" spans="2:13" s="98" customFormat="1" x14ac:dyDescent="0.15">
      <c r="B613" s="100"/>
      <c r="C613" s="100"/>
      <c r="D613" s="100"/>
      <c r="E613" s="100"/>
      <c r="F613" s="100"/>
      <c r="G613" s="100"/>
      <c r="H613" s="101"/>
      <c r="I613" s="101"/>
      <c r="J613" s="102"/>
      <c r="K613" s="102"/>
      <c r="L613" s="102"/>
      <c r="M613" s="102"/>
    </row>
    <row r="614" spans="2:13" s="98" customFormat="1" x14ac:dyDescent="0.15">
      <c r="B614" s="100"/>
      <c r="C614" s="100"/>
      <c r="D614" s="100"/>
      <c r="E614" s="100"/>
      <c r="F614" s="100"/>
      <c r="G614" s="100"/>
      <c r="H614" s="101"/>
      <c r="I614" s="101"/>
      <c r="J614" s="102"/>
      <c r="K614" s="102"/>
      <c r="L614" s="102"/>
      <c r="M614" s="102"/>
    </row>
    <row r="615" spans="2:13" s="98" customFormat="1" x14ac:dyDescent="0.15">
      <c r="B615" s="100"/>
      <c r="C615" s="100"/>
      <c r="D615" s="100"/>
      <c r="E615" s="100"/>
      <c r="F615" s="100"/>
      <c r="G615" s="100"/>
      <c r="H615" s="101"/>
      <c r="I615" s="101"/>
      <c r="J615" s="102"/>
      <c r="K615" s="102"/>
      <c r="L615" s="102"/>
      <c r="M615" s="102"/>
    </row>
    <row r="616" spans="2:13" s="98" customFormat="1" x14ac:dyDescent="0.15">
      <c r="B616" s="100"/>
      <c r="C616" s="100"/>
      <c r="D616" s="100"/>
      <c r="E616" s="100"/>
      <c r="F616" s="100"/>
      <c r="G616" s="100"/>
      <c r="H616" s="101"/>
      <c r="I616" s="101"/>
      <c r="J616" s="102"/>
      <c r="K616" s="102"/>
      <c r="L616" s="102"/>
      <c r="M616" s="102"/>
    </row>
    <row r="617" spans="2:13" s="98" customFormat="1" x14ac:dyDescent="0.15">
      <c r="B617" s="100"/>
      <c r="C617" s="100"/>
      <c r="D617" s="100"/>
      <c r="E617" s="100"/>
      <c r="F617" s="100"/>
      <c r="G617" s="100"/>
      <c r="H617" s="101"/>
      <c r="I617" s="101"/>
      <c r="J617" s="102"/>
      <c r="K617" s="102"/>
      <c r="L617" s="102"/>
      <c r="M617" s="102"/>
    </row>
    <row r="618" spans="2:13" s="98" customFormat="1" x14ac:dyDescent="0.15">
      <c r="B618" s="100"/>
      <c r="C618" s="100"/>
      <c r="D618" s="100"/>
      <c r="E618" s="100"/>
      <c r="F618" s="100"/>
      <c r="G618" s="100"/>
      <c r="H618" s="101"/>
      <c r="I618" s="101"/>
      <c r="J618" s="102"/>
      <c r="K618" s="102"/>
      <c r="L618" s="102"/>
      <c r="M618" s="102"/>
    </row>
    <row r="619" spans="2:13" s="98" customFormat="1" x14ac:dyDescent="0.15">
      <c r="B619" s="100"/>
      <c r="C619" s="100"/>
      <c r="D619" s="100"/>
      <c r="E619" s="100"/>
      <c r="F619" s="100"/>
      <c r="G619" s="100"/>
      <c r="H619" s="101"/>
      <c r="I619" s="101"/>
      <c r="J619" s="102"/>
      <c r="K619" s="102"/>
      <c r="L619" s="102"/>
      <c r="M619" s="102"/>
    </row>
    <row r="620" spans="2:13" s="98" customFormat="1" x14ac:dyDescent="0.15">
      <c r="B620" s="100"/>
      <c r="C620" s="100"/>
      <c r="D620" s="100"/>
      <c r="E620" s="100"/>
      <c r="F620" s="100"/>
      <c r="G620" s="100"/>
      <c r="H620" s="101"/>
      <c r="I620" s="101"/>
      <c r="J620" s="102"/>
      <c r="K620" s="102"/>
      <c r="L620" s="102"/>
      <c r="M620" s="102"/>
    </row>
    <row r="621" spans="2:13" s="98" customFormat="1" x14ac:dyDescent="0.15">
      <c r="B621" s="100"/>
      <c r="C621" s="100"/>
      <c r="D621" s="100"/>
      <c r="E621" s="100"/>
      <c r="F621" s="100"/>
      <c r="G621" s="100"/>
      <c r="H621" s="101"/>
      <c r="I621" s="101"/>
      <c r="J621" s="102"/>
      <c r="K621" s="102"/>
      <c r="L621" s="102"/>
      <c r="M621" s="102"/>
    </row>
    <row r="622" spans="2:13" s="98" customFormat="1" x14ac:dyDescent="0.15">
      <c r="B622" s="100"/>
      <c r="C622" s="100"/>
      <c r="D622" s="100"/>
      <c r="E622" s="100"/>
      <c r="F622" s="100"/>
      <c r="G622" s="100"/>
      <c r="H622" s="101"/>
      <c r="I622" s="101"/>
      <c r="J622" s="102"/>
      <c r="K622" s="102"/>
      <c r="L622" s="102"/>
      <c r="M622" s="102"/>
    </row>
    <row r="623" spans="2:13" s="98" customFormat="1" x14ac:dyDescent="0.15">
      <c r="B623" s="100"/>
      <c r="C623" s="100"/>
      <c r="D623" s="100"/>
      <c r="E623" s="100"/>
      <c r="F623" s="100"/>
      <c r="G623" s="100"/>
      <c r="H623" s="101"/>
      <c r="I623" s="101"/>
      <c r="J623" s="102"/>
      <c r="K623" s="102"/>
      <c r="L623" s="102"/>
      <c r="M623" s="102"/>
    </row>
    <row r="624" spans="2:13" s="98" customFormat="1" x14ac:dyDescent="0.15">
      <c r="B624" s="100"/>
      <c r="C624" s="100"/>
      <c r="D624" s="100"/>
      <c r="E624" s="100"/>
      <c r="F624" s="100"/>
      <c r="G624" s="100"/>
      <c r="H624" s="101"/>
      <c r="I624" s="101"/>
      <c r="J624" s="102"/>
      <c r="K624" s="102"/>
      <c r="L624" s="102"/>
      <c r="M624" s="102"/>
    </row>
    <row r="625" spans="2:13" s="98" customFormat="1" x14ac:dyDescent="0.15">
      <c r="B625" s="100"/>
      <c r="C625" s="100"/>
      <c r="D625" s="100"/>
      <c r="E625" s="100"/>
      <c r="F625" s="100"/>
      <c r="G625" s="100"/>
      <c r="H625" s="101"/>
      <c r="I625" s="101"/>
      <c r="J625" s="102"/>
      <c r="K625" s="102"/>
      <c r="L625" s="102"/>
      <c r="M625" s="102"/>
    </row>
    <row r="626" spans="2:13" s="98" customFormat="1" x14ac:dyDescent="0.15">
      <c r="B626" s="100"/>
      <c r="C626" s="100"/>
      <c r="D626" s="100"/>
      <c r="E626" s="100"/>
      <c r="F626" s="100"/>
      <c r="G626" s="100"/>
      <c r="H626" s="101"/>
      <c r="I626" s="101"/>
      <c r="J626" s="102"/>
      <c r="K626" s="102"/>
      <c r="L626" s="102"/>
      <c r="M626" s="102"/>
    </row>
    <row r="627" spans="2:13" s="98" customFormat="1" x14ac:dyDescent="0.15">
      <c r="B627" s="100"/>
      <c r="C627" s="100"/>
      <c r="D627" s="100"/>
      <c r="E627" s="100"/>
      <c r="F627" s="100"/>
      <c r="G627" s="100"/>
      <c r="H627" s="101"/>
      <c r="I627" s="101"/>
      <c r="J627" s="102"/>
      <c r="K627" s="102"/>
      <c r="L627" s="102"/>
      <c r="M627" s="102"/>
    </row>
    <row r="628" spans="2:13" s="98" customFormat="1" x14ac:dyDescent="0.15">
      <c r="B628" s="100"/>
      <c r="C628" s="100"/>
      <c r="D628" s="100"/>
      <c r="E628" s="100"/>
      <c r="F628" s="100"/>
      <c r="G628" s="100"/>
      <c r="H628" s="101"/>
      <c r="I628" s="101"/>
      <c r="J628" s="102"/>
      <c r="K628" s="102"/>
      <c r="L628" s="102"/>
      <c r="M628" s="102"/>
    </row>
    <row r="629" spans="2:13" s="98" customFormat="1" x14ac:dyDescent="0.15">
      <c r="B629" s="100"/>
      <c r="C629" s="100"/>
      <c r="D629" s="100"/>
      <c r="E629" s="100"/>
      <c r="F629" s="100"/>
      <c r="G629" s="100"/>
      <c r="H629" s="101"/>
      <c r="I629" s="101"/>
      <c r="J629" s="102"/>
      <c r="K629" s="102"/>
      <c r="L629" s="102"/>
      <c r="M629" s="102"/>
    </row>
    <row r="630" spans="2:13" s="98" customFormat="1" x14ac:dyDescent="0.15">
      <c r="B630" s="100"/>
      <c r="C630" s="100"/>
      <c r="D630" s="100"/>
      <c r="E630" s="100"/>
      <c r="F630" s="100"/>
      <c r="G630" s="100"/>
      <c r="H630" s="101"/>
      <c r="I630" s="101"/>
      <c r="J630" s="102"/>
      <c r="K630" s="102"/>
      <c r="L630" s="102"/>
      <c r="M630" s="102"/>
    </row>
    <row r="631" spans="2:13" s="98" customFormat="1" x14ac:dyDescent="0.15">
      <c r="B631" s="100"/>
      <c r="C631" s="100"/>
      <c r="D631" s="100"/>
      <c r="E631" s="100"/>
      <c r="F631" s="100"/>
      <c r="G631" s="100"/>
      <c r="H631" s="101"/>
      <c r="I631" s="101"/>
      <c r="J631" s="102"/>
      <c r="K631" s="102"/>
      <c r="L631" s="102"/>
      <c r="M631" s="102"/>
    </row>
    <row r="632" spans="2:13" s="98" customFormat="1" x14ac:dyDescent="0.15">
      <c r="B632" s="100"/>
      <c r="C632" s="100"/>
      <c r="D632" s="100"/>
      <c r="E632" s="100"/>
      <c r="F632" s="100"/>
      <c r="G632" s="100"/>
      <c r="H632" s="101"/>
      <c r="I632" s="101"/>
      <c r="J632" s="102"/>
      <c r="K632" s="102"/>
      <c r="L632" s="102"/>
      <c r="M632" s="102"/>
    </row>
    <row r="633" spans="2:13" s="98" customFormat="1" x14ac:dyDescent="0.15">
      <c r="B633" s="100"/>
      <c r="C633" s="100"/>
      <c r="D633" s="100"/>
      <c r="E633" s="100"/>
      <c r="F633" s="100"/>
      <c r="G633" s="100"/>
      <c r="H633" s="101"/>
      <c r="I633" s="101"/>
      <c r="J633" s="102"/>
      <c r="K633" s="102"/>
      <c r="L633" s="102"/>
      <c r="M633" s="102"/>
    </row>
    <row r="634" spans="2:13" s="98" customFormat="1" x14ac:dyDescent="0.15">
      <c r="B634" s="100"/>
      <c r="C634" s="100"/>
      <c r="D634" s="100"/>
      <c r="E634" s="100"/>
      <c r="F634" s="100"/>
      <c r="G634" s="100"/>
      <c r="H634" s="101"/>
      <c r="I634" s="101"/>
      <c r="J634" s="102"/>
      <c r="K634" s="102"/>
      <c r="L634" s="102"/>
      <c r="M634" s="102"/>
    </row>
    <row r="635" spans="2:13" s="98" customFormat="1" x14ac:dyDescent="0.15">
      <c r="B635" s="100"/>
      <c r="C635" s="100"/>
      <c r="D635" s="100"/>
      <c r="E635" s="100"/>
      <c r="F635" s="100"/>
      <c r="G635" s="100"/>
      <c r="H635" s="101"/>
      <c r="I635" s="101"/>
      <c r="J635" s="102"/>
      <c r="K635" s="102"/>
      <c r="L635" s="102"/>
      <c r="M635" s="102"/>
    </row>
    <row r="636" spans="2:13" s="98" customFormat="1" x14ac:dyDescent="0.15">
      <c r="B636" s="100"/>
      <c r="C636" s="100"/>
      <c r="D636" s="100"/>
      <c r="E636" s="100"/>
      <c r="F636" s="100"/>
      <c r="G636" s="100"/>
      <c r="H636" s="101"/>
      <c r="I636" s="101"/>
      <c r="J636" s="102"/>
      <c r="K636" s="102"/>
      <c r="L636" s="102"/>
      <c r="M636" s="102"/>
    </row>
    <row r="637" spans="2:13" s="98" customFormat="1" x14ac:dyDescent="0.15">
      <c r="B637" s="100"/>
      <c r="C637" s="100"/>
      <c r="D637" s="100"/>
      <c r="E637" s="100"/>
      <c r="F637" s="100"/>
      <c r="G637" s="100"/>
      <c r="H637" s="101"/>
      <c r="I637" s="101"/>
      <c r="J637" s="102"/>
      <c r="K637" s="102"/>
      <c r="L637" s="102"/>
      <c r="M637" s="102"/>
    </row>
    <row r="638" spans="2:13" s="98" customFormat="1" x14ac:dyDescent="0.15">
      <c r="B638" s="100"/>
      <c r="C638" s="100"/>
      <c r="D638" s="100"/>
      <c r="E638" s="100"/>
      <c r="F638" s="100"/>
      <c r="G638" s="100"/>
      <c r="H638" s="101"/>
      <c r="I638" s="101"/>
      <c r="J638" s="102"/>
      <c r="K638" s="102"/>
      <c r="L638" s="102"/>
      <c r="M638" s="102"/>
    </row>
    <row r="639" spans="2:13" s="98" customFormat="1" x14ac:dyDescent="0.15">
      <c r="B639" s="100"/>
      <c r="C639" s="100"/>
      <c r="D639" s="100"/>
      <c r="E639" s="100"/>
      <c r="F639" s="100"/>
      <c r="G639" s="100"/>
      <c r="H639" s="101"/>
      <c r="I639" s="101"/>
      <c r="J639" s="102"/>
      <c r="K639" s="102"/>
      <c r="L639" s="102"/>
      <c r="M639" s="102"/>
    </row>
    <row r="640" spans="2:13" s="98" customFormat="1" x14ac:dyDescent="0.15">
      <c r="B640" s="100"/>
      <c r="C640" s="100"/>
      <c r="D640" s="100"/>
      <c r="E640" s="100"/>
      <c r="F640" s="100"/>
      <c r="G640" s="100"/>
      <c r="H640" s="101"/>
      <c r="I640" s="101"/>
      <c r="J640" s="102"/>
      <c r="K640" s="102"/>
      <c r="L640" s="102"/>
      <c r="M640" s="102"/>
    </row>
    <row r="641" spans="2:13" s="98" customFormat="1" x14ac:dyDescent="0.15">
      <c r="B641" s="100"/>
      <c r="C641" s="100"/>
      <c r="D641" s="100"/>
      <c r="E641" s="100"/>
      <c r="F641" s="100"/>
      <c r="G641" s="100"/>
      <c r="H641" s="101"/>
      <c r="I641" s="101"/>
      <c r="J641" s="102"/>
      <c r="K641" s="102"/>
      <c r="L641" s="102"/>
      <c r="M641" s="102"/>
    </row>
    <row r="642" spans="2:13" s="98" customFormat="1" x14ac:dyDescent="0.15">
      <c r="B642" s="100"/>
      <c r="C642" s="100"/>
      <c r="D642" s="100"/>
      <c r="E642" s="100"/>
      <c r="F642" s="100"/>
      <c r="G642" s="100"/>
      <c r="H642" s="101"/>
      <c r="I642" s="101"/>
      <c r="J642" s="102"/>
      <c r="K642" s="102"/>
      <c r="L642" s="102"/>
      <c r="M642" s="102"/>
    </row>
    <row r="643" spans="2:13" s="98" customFormat="1" x14ac:dyDescent="0.15">
      <c r="B643" s="100"/>
      <c r="C643" s="100"/>
      <c r="D643" s="100"/>
      <c r="E643" s="100"/>
      <c r="F643" s="100"/>
      <c r="G643" s="100"/>
      <c r="H643" s="101"/>
      <c r="I643" s="101"/>
      <c r="J643" s="102"/>
      <c r="K643" s="102"/>
      <c r="L643" s="102"/>
      <c r="M643" s="102"/>
    </row>
    <row r="644" spans="2:13" s="98" customFormat="1" x14ac:dyDescent="0.15">
      <c r="B644" s="100"/>
      <c r="C644" s="100"/>
      <c r="D644" s="100"/>
      <c r="E644" s="100"/>
      <c r="F644" s="100"/>
      <c r="G644" s="100"/>
      <c r="H644" s="101"/>
      <c r="I644" s="101"/>
      <c r="J644" s="102"/>
      <c r="K644" s="102"/>
      <c r="L644" s="102"/>
      <c r="M644" s="102"/>
    </row>
    <row r="645" spans="2:13" s="98" customFormat="1" x14ac:dyDescent="0.15">
      <c r="B645" s="100"/>
      <c r="C645" s="100"/>
      <c r="D645" s="100"/>
      <c r="E645" s="100"/>
      <c r="F645" s="100"/>
      <c r="G645" s="100"/>
      <c r="H645" s="101"/>
      <c r="I645" s="101"/>
      <c r="J645" s="102"/>
      <c r="K645" s="102"/>
      <c r="L645" s="102"/>
      <c r="M645" s="102"/>
    </row>
    <row r="646" spans="2:13" s="98" customFormat="1" x14ac:dyDescent="0.15">
      <c r="B646" s="100"/>
      <c r="C646" s="100"/>
      <c r="D646" s="100"/>
      <c r="E646" s="100"/>
      <c r="F646" s="100"/>
      <c r="G646" s="100"/>
      <c r="H646" s="101"/>
      <c r="I646" s="101"/>
      <c r="J646" s="102"/>
      <c r="K646" s="102"/>
      <c r="L646" s="102"/>
      <c r="M646" s="102"/>
    </row>
    <row r="647" spans="2:13" s="98" customFormat="1" x14ac:dyDescent="0.15">
      <c r="B647" s="100"/>
      <c r="C647" s="100"/>
      <c r="D647" s="100"/>
      <c r="E647" s="100"/>
      <c r="F647" s="100"/>
      <c r="G647" s="100"/>
      <c r="H647" s="101"/>
      <c r="I647" s="101"/>
      <c r="J647" s="102"/>
      <c r="K647" s="102"/>
      <c r="L647" s="102"/>
      <c r="M647" s="102"/>
    </row>
    <row r="648" spans="2:13" s="98" customFormat="1" x14ac:dyDescent="0.15">
      <c r="B648" s="100"/>
      <c r="C648" s="100"/>
      <c r="D648" s="100"/>
      <c r="E648" s="100"/>
      <c r="F648" s="100"/>
      <c r="G648" s="100"/>
      <c r="H648" s="101"/>
      <c r="I648" s="101"/>
      <c r="J648" s="102"/>
      <c r="K648" s="102"/>
      <c r="L648" s="102"/>
      <c r="M648" s="102"/>
    </row>
    <row r="649" spans="2:13" s="98" customFormat="1" x14ac:dyDescent="0.15">
      <c r="B649" s="100"/>
      <c r="C649" s="100"/>
      <c r="D649" s="100"/>
      <c r="E649" s="100"/>
      <c r="F649" s="100"/>
      <c r="G649" s="100"/>
      <c r="H649" s="101"/>
      <c r="I649" s="101"/>
      <c r="J649" s="102"/>
      <c r="K649" s="102"/>
      <c r="L649" s="102"/>
      <c r="M649" s="102"/>
    </row>
    <row r="650" spans="2:13" s="98" customFormat="1" x14ac:dyDescent="0.15">
      <c r="B650" s="100"/>
      <c r="C650" s="100"/>
      <c r="D650" s="100"/>
      <c r="E650" s="100"/>
      <c r="F650" s="100"/>
      <c r="G650" s="100"/>
      <c r="H650" s="101"/>
      <c r="I650" s="101"/>
      <c r="J650" s="102"/>
      <c r="K650" s="102"/>
      <c r="L650" s="102"/>
      <c r="M650" s="102"/>
    </row>
    <row r="651" spans="2:13" s="98" customFormat="1" x14ac:dyDescent="0.15">
      <c r="B651" s="100"/>
      <c r="C651" s="100"/>
      <c r="D651" s="100"/>
      <c r="E651" s="100"/>
      <c r="F651" s="100"/>
      <c r="G651" s="100"/>
      <c r="H651" s="101"/>
      <c r="I651" s="101"/>
      <c r="J651" s="102"/>
      <c r="K651" s="102"/>
      <c r="L651" s="102"/>
      <c r="M651" s="102"/>
    </row>
    <row r="652" spans="2:13" s="98" customFormat="1" x14ac:dyDescent="0.15">
      <c r="B652" s="100"/>
      <c r="C652" s="100"/>
      <c r="D652" s="100"/>
      <c r="E652" s="100"/>
      <c r="F652" s="100"/>
      <c r="G652" s="100"/>
      <c r="H652" s="101"/>
      <c r="I652" s="101"/>
      <c r="J652" s="102"/>
      <c r="K652" s="102"/>
      <c r="L652" s="102"/>
      <c r="M652" s="102"/>
    </row>
    <row r="653" spans="2:13" s="98" customFormat="1" x14ac:dyDescent="0.15">
      <c r="B653" s="100"/>
      <c r="C653" s="100"/>
      <c r="D653" s="100"/>
      <c r="E653" s="100"/>
      <c r="F653" s="100"/>
      <c r="G653" s="100"/>
      <c r="H653" s="101"/>
      <c r="I653" s="101"/>
      <c r="J653" s="102"/>
      <c r="K653" s="102"/>
      <c r="L653" s="102"/>
      <c r="M653" s="102"/>
    </row>
    <row r="654" spans="2:13" s="98" customFormat="1" x14ac:dyDescent="0.15">
      <c r="B654" s="100"/>
      <c r="C654" s="100"/>
      <c r="D654" s="100"/>
      <c r="E654" s="100"/>
      <c r="F654" s="100"/>
      <c r="G654" s="100"/>
      <c r="H654" s="101"/>
      <c r="I654" s="101"/>
      <c r="J654" s="102"/>
      <c r="K654" s="102"/>
      <c r="L654" s="102"/>
      <c r="M654" s="102"/>
    </row>
    <row r="655" spans="2:13" s="98" customFormat="1" x14ac:dyDescent="0.15">
      <c r="B655" s="100"/>
      <c r="C655" s="100"/>
      <c r="D655" s="100"/>
      <c r="E655" s="100"/>
      <c r="F655" s="100"/>
      <c r="G655" s="100"/>
      <c r="H655" s="101"/>
      <c r="I655" s="101"/>
      <c r="J655" s="102"/>
      <c r="K655" s="102"/>
      <c r="L655" s="102"/>
      <c r="M655" s="102"/>
    </row>
    <row r="656" spans="2:13" s="98" customFormat="1" x14ac:dyDescent="0.15">
      <c r="B656" s="100"/>
      <c r="C656" s="100"/>
      <c r="D656" s="100"/>
      <c r="E656" s="100"/>
      <c r="F656" s="100"/>
      <c r="G656" s="100"/>
      <c r="H656" s="101"/>
      <c r="I656" s="101"/>
      <c r="J656" s="102"/>
      <c r="K656" s="102"/>
      <c r="L656" s="102"/>
      <c r="M656" s="102"/>
    </row>
    <row r="657" spans="2:13" s="98" customFormat="1" x14ac:dyDescent="0.15">
      <c r="B657" s="100"/>
      <c r="C657" s="100"/>
      <c r="D657" s="100"/>
      <c r="E657" s="100"/>
      <c r="F657" s="100"/>
      <c r="G657" s="100"/>
      <c r="H657" s="101"/>
      <c r="I657" s="101"/>
      <c r="J657" s="102"/>
      <c r="K657" s="102"/>
      <c r="L657" s="102"/>
      <c r="M657" s="102"/>
    </row>
    <row r="658" spans="2:13" s="98" customFormat="1" x14ac:dyDescent="0.15">
      <c r="B658" s="100"/>
      <c r="C658" s="100"/>
      <c r="D658" s="100"/>
      <c r="E658" s="100"/>
      <c r="F658" s="100"/>
      <c r="G658" s="100"/>
      <c r="H658" s="101"/>
      <c r="I658" s="101"/>
      <c r="J658" s="102"/>
      <c r="K658" s="102"/>
      <c r="L658" s="102"/>
      <c r="M658" s="102"/>
    </row>
    <row r="659" spans="2:13" s="98" customFormat="1" x14ac:dyDescent="0.15">
      <c r="B659" s="100"/>
      <c r="C659" s="100"/>
      <c r="D659" s="100"/>
      <c r="E659" s="100"/>
      <c r="F659" s="100"/>
      <c r="G659" s="100"/>
      <c r="H659" s="101"/>
      <c r="I659" s="101"/>
      <c r="J659" s="102"/>
      <c r="K659" s="102"/>
      <c r="L659" s="102"/>
      <c r="M659" s="102"/>
    </row>
    <row r="660" spans="2:13" s="98" customFormat="1" x14ac:dyDescent="0.15">
      <c r="B660" s="100"/>
      <c r="C660" s="100"/>
      <c r="D660" s="100"/>
      <c r="E660" s="100"/>
      <c r="F660" s="100"/>
      <c r="G660" s="100"/>
      <c r="H660" s="101"/>
      <c r="I660" s="101"/>
      <c r="J660" s="102"/>
      <c r="K660" s="102"/>
      <c r="L660" s="102"/>
      <c r="M660" s="102"/>
    </row>
    <row r="661" spans="2:13" s="98" customFormat="1" x14ac:dyDescent="0.15">
      <c r="B661" s="100"/>
      <c r="C661" s="100"/>
      <c r="D661" s="100"/>
      <c r="E661" s="100"/>
      <c r="F661" s="100"/>
      <c r="G661" s="100"/>
      <c r="H661" s="101"/>
      <c r="I661" s="101"/>
      <c r="J661" s="102"/>
      <c r="K661" s="102"/>
      <c r="L661" s="102"/>
      <c r="M661" s="102"/>
    </row>
    <row r="662" spans="2:13" s="98" customFormat="1" x14ac:dyDescent="0.15">
      <c r="B662" s="100"/>
      <c r="C662" s="100"/>
      <c r="D662" s="100"/>
      <c r="E662" s="100"/>
      <c r="F662" s="100"/>
      <c r="G662" s="100"/>
      <c r="H662" s="101"/>
      <c r="I662" s="101"/>
      <c r="J662" s="102"/>
      <c r="K662" s="102"/>
      <c r="L662" s="102"/>
      <c r="M662" s="102"/>
    </row>
    <row r="663" spans="2:13" s="98" customFormat="1" x14ac:dyDescent="0.15">
      <c r="B663" s="100"/>
      <c r="C663" s="100"/>
      <c r="D663" s="100"/>
      <c r="E663" s="100"/>
      <c r="F663" s="100"/>
      <c r="G663" s="100"/>
      <c r="H663" s="101"/>
      <c r="I663" s="101"/>
      <c r="J663" s="102"/>
      <c r="K663" s="102"/>
      <c r="L663" s="102"/>
      <c r="M663" s="102"/>
    </row>
    <row r="664" spans="2:13" s="98" customFormat="1" x14ac:dyDescent="0.15">
      <c r="B664" s="100"/>
      <c r="C664" s="100"/>
      <c r="D664" s="100"/>
      <c r="E664" s="100"/>
      <c r="F664" s="100"/>
      <c r="G664" s="100"/>
      <c r="H664" s="101"/>
      <c r="I664" s="101"/>
      <c r="J664" s="102"/>
      <c r="K664" s="102"/>
      <c r="L664" s="102"/>
      <c r="M664" s="102"/>
    </row>
    <row r="665" spans="2:13" s="98" customFormat="1" x14ac:dyDescent="0.15">
      <c r="B665" s="100"/>
      <c r="C665" s="100"/>
      <c r="D665" s="100"/>
      <c r="E665" s="100"/>
      <c r="F665" s="100"/>
      <c r="G665" s="100"/>
      <c r="H665" s="101"/>
      <c r="I665" s="101"/>
      <c r="J665" s="102"/>
      <c r="K665" s="102"/>
      <c r="L665" s="102"/>
      <c r="M665" s="102"/>
    </row>
    <row r="666" spans="2:13" s="98" customFormat="1" x14ac:dyDescent="0.15">
      <c r="B666" s="100"/>
      <c r="C666" s="100"/>
      <c r="D666" s="100"/>
      <c r="E666" s="100"/>
      <c r="F666" s="100"/>
      <c r="G666" s="100"/>
      <c r="H666" s="101"/>
      <c r="I666" s="101"/>
      <c r="J666" s="102"/>
      <c r="K666" s="102"/>
      <c r="L666" s="102"/>
      <c r="M666" s="102"/>
    </row>
    <row r="667" spans="2:13" s="98" customFormat="1" x14ac:dyDescent="0.15">
      <c r="B667" s="100"/>
      <c r="C667" s="100"/>
      <c r="D667" s="100"/>
      <c r="E667" s="100"/>
      <c r="F667" s="100"/>
      <c r="G667" s="100"/>
      <c r="H667" s="101"/>
      <c r="I667" s="101"/>
      <c r="J667" s="102"/>
      <c r="K667" s="102"/>
      <c r="L667" s="102"/>
      <c r="M667" s="102"/>
    </row>
    <row r="668" spans="2:13" s="98" customFormat="1" x14ac:dyDescent="0.15">
      <c r="B668" s="100"/>
      <c r="C668" s="100"/>
      <c r="D668" s="100"/>
      <c r="E668" s="100"/>
      <c r="F668" s="100"/>
      <c r="G668" s="100"/>
      <c r="H668" s="101"/>
      <c r="I668" s="101"/>
      <c r="J668" s="102"/>
      <c r="K668" s="102"/>
      <c r="L668" s="102"/>
      <c r="M668" s="102"/>
    </row>
    <row r="669" spans="2:13" s="98" customFormat="1" x14ac:dyDescent="0.15">
      <c r="B669" s="100"/>
      <c r="C669" s="100"/>
      <c r="D669" s="100"/>
      <c r="E669" s="100"/>
      <c r="F669" s="100"/>
      <c r="G669" s="100"/>
      <c r="H669" s="101"/>
      <c r="I669" s="101"/>
      <c r="J669" s="102"/>
      <c r="K669" s="102"/>
      <c r="L669" s="102"/>
      <c r="M669" s="102"/>
    </row>
    <row r="670" spans="2:13" s="98" customFormat="1" x14ac:dyDescent="0.15">
      <c r="B670" s="100"/>
      <c r="C670" s="100"/>
      <c r="D670" s="100"/>
      <c r="E670" s="100"/>
      <c r="F670" s="100"/>
      <c r="G670" s="100"/>
      <c r="H670" s="101"/>
      <c r="I670" s="101"/>
      <c r="J670" s="102"/>
      <c r="K670" s="102"/>
      <c r="L670" s="102"/>
      <c r="M670" s="102"/>
    </row>
    <row r="671" spans="2:13" s="98" customFormat="1" x14ac:dyDescent="0.15">
      <c r="B671" s="100"/>
      <c r="C671" s="100"/>
      <c r="D671" s="100"/>
      <c r="E671" s="100"/>
      <c r="F671" s="100"/>
      <c r="G671" s="100"/>
      <c r="H671" s="101"/>
      <c r="I671" s="101"/>
      <c r="J671" s="102"/>
      <c r="K671" s="102"/>
      <c r="L671" s="102"/>
      <c r="M671" s="102"/>
    </row>
    <row r="672" spans="2:13" s="98" customFormat="1" x14ac:dyDescent="0.15">
      <c r="B672" s="100"/>
      <c r="C672" s="100"/>
      <c r="D672" s="100"/>
      <c r="E672" s="100"/>
      <c r="F672" s="100"/>
      <c r="G672" s="100"/>
      <c r="H672" s="101"/>
      <c r="I672" s="101"/>
      <c r="J672" s="102"/>
      <c r="K672" s="102"/>
      <c r="L672" s="102"/>
      <c r="M672" s="102"/>
    </row>
    <row r="673" spans="2:13" s="98" customFormat="1" x14ac:dyDescent="0.15">
      <c r="B673" s="100"/>
      <c r="C673" s="100"/>
      <c r="D673" s="100"/>
      <c r="E673" s="100"/>
      <c r="F673" s="100"/>
      <c r="G673" s="100"/>
      <c r="H673" s="101"/>
      <c r="I673" s="101"/>
      <c r="J673" s="102"/>
      <c r="K673" s="102"/>
      <c r="L673" s="102"/>
      <c r="M673" s="102"/>
    </row>
    <row r="674" spans="2:13" s="98" customFormat="1" x14ac:dyDescent="0.15">
      <c r="B674" s="100"/>
      <c r="C674" s="100"/>
      <c r="D674" s="100"/>
      <c r="E674" s="100"/>
      <c r="F674" s="100"/>
      <c r="G674" s="100"/>
      <c r="H674" s="101"/>
      <c r="I674" s="101"/>
      <c r="J674" s="102"/>
      <c r="K674" s="102"/>
      <c r="L674" s="102"/>
      <c r="M674" s="102"/>
    </row>
    <row r="675" spans="2:13" s="98" customFormat="1" x14ac:dyDescent="0.15">
      <c r="B675" s="100"/>
      <c r="C675" s="100"/>
      <c r="D675" s="100"/>
      <c r="E675" s="100"/>
      <c r="F675" s="100"/>
      <c r="G675" s="100"/>
      <c r="H675" s="101"/>
      <c r="I675" s="101"/>
      <c r="J675" s="102"/>
      <c r="K675" s="102"/>
      <c r="L675" s="102"/>
      <c r="M675" s="102"/>
    </row>
    <row r="676" spans="2:13" s="98" customFormat="1" x14ac:dyDescent="0.15">
      <c r="B676" s="100"/>
      <c r="C676" s="100"/>
      <c r="D676" s="100"/>
      <c r="E676" s="100"/>
      <c r="F676" s="100"/>
      <c r="G676" s="100"/>
      <c r="H676" s="101"/>
      <c r="I676" s="101"/>
      <c r="J676" s="102"/>
      <c r="K676" s="102"/>
      <c r="L676" s="102"/>
      <c r="M676" s="102"/>
    </row>
    <row r="677" spans="2:13" s="98" customFormat="1" x14ac:dyDescent="0.15">
      <c r="B677" s="100"/>
      <c r="C677" s="100"/>
      <c r="D677" s="100"/>
      <c r="E677" s="100"/>
      <c r="F677" s="100"/>
      <c r="G677" s="100"/>
      <c r="H677" s="101"/>
      <c r="I677" s="101"/>
      <c r="J677" s="102"/>
      <c r="K677" s="102"/>
      <c r="L677" s="102"/>
      <c r="M677" s="102"/>
    </row>
    <row r="678" spans="2:13" s="98" customFormat="1" x14ac:dyDescent="0.15">
      <c r="B678" s="100"/>
      <c r="C678" s="100"/>
      <c r="D678" s="100"/>
      <c r="E678" s="100"/>
      <c r="F678" s="100"/>
      <c r="G678" s="100"/>
      <c r="H678" s="101"/>
      <c r="I678" s="101"/>
      <c r="J678" s="102"/>
      <c r="K678" s="102"/>
      <c r="L678" s="102"/>
      <c r="M678" s="102"/>
    </row>
    <row r="679" spans="2:13" s="98" customFormat="1" x14ac:dyDescent="0.15">
      <c r="B679" s="100"/>
      <c r="C679" s="100"/>
      <c r="D679" s="100"/>
      <c r="E679" s="100"/>
      <c r="F679" s="100"/>
      <c r="G679" s="100"/>
      <c r="H679" s="101"/>
      <c r="I679" s="101"/>
      <c r="J679" s="102"/>
      <c r="K679" s="102"/>
      <c r="L679" s="102"/>
      <c r="M679" s="102"/>
    </row>
    <row r="680" spans="2:13" s="98" customFormat="1" x14ac:dyDescent="0.15">
      <c r="B680" s="100"/>
      <c r="C680" s="100"/>
      <c r="D680" s="100"/>
      <c r="E680" s="100"/>
      <c r="F680" s="100"/>
      <c r="G680" s="100"/>
      <c r="H680" s="101"/>
      <c r="I680" s="101"/>
      <c r="J680" s="102"/>
      <c r="K680" s="102"/>
      <c r="L680" s="102"/>
      <c r="M680" s="102"/>
    </row>
    <row r="681" spans="2:13" s="98" customFormat="1" x14ac:dyDescent="0.15">
      <c r="B681" s="100"/>
      <c r="C681" s="100"/>
      <c r="D681" s="100"/>
      <c r="E681" s="100"/>
      <c r="F681" s="100"/>
      <c r="G681" s="100"/>
      <c r="H681" s="101"/>
      <c r="I681" s="101"/>
      <c r="J681" s="102"/>
      <c r="K681" s="102"/>
      <c r="L681" s="102"/>
      <c r="M681" s="102"/>
    </row>
    <row r="682" spans="2:13" s="98" customFormat="1" x14ac:dyDescent="0.15">
      <c r="B682" s="100"/>
      <c r="C682" s="100"/>
      <c r="D682" s="100"/>
      <c r="E682" s="100"/>
      <c r="F682" s="100"/>
      <c r="G682" s="100"/>
      <c r="H682" s="101"/>
      <c r="I682" s="101"/>
      <c r="J682" s="102"/>
      <c r="K682" s="102"/>
      <c r="L682" s="102"/>
      <c r="M682" s="102"/>
    </row>
    <row r="683" spans="2:13" s="98" customFormat="1" x14ac:dyDescent="0.15">
      <c r="B683" s="100"/>
      <c r="C683" s="100"/>
      <c r="D683" s="100"/>
      <c r="E683" s="100"/>
      <c r="F683" s="100"/>
      <c r="G683" s="100"/>
      <c r="H683" s="101"/>
      <c r="I683" s="101"/>
      <c r="J683" s="102"/>
      <c r="K683" s="102"/>
      <c r="L683" s="102"/>
      <c r="M683" s="102"/>
    </row>
    <row r="684" spans="2:13" s="98" customFormat="1" x14ac:dyDescent="0.15">
      <c r="B684" s="100"/>
      <c r="C684" s="100"/>
      <c r="D684" s="100"/>
      <c r="E684" s="100"/>
      <c r="F684" s="100"/>
      <c r="G684" s="100"/>
      <c r="H684" s="101"/>
      <c r="I684" s="101"/>
      <c r="J684" s="102"/>
      <c r="K684" s="102"/>
      <c r="L684" s="102"/>
      <c r="M684" s="102"/>
    </row>
    <row r="685" spans="2:13" s="98" customFormat="1" x14ac:dyDescent="0.15">
      <c r="B685" s="100"/>
      <c r="C685" s="100"/>
      <c r="D685" s="100"/>
      <c r="E685" s="100"/>
      <c r="F685" s="100"/>
      <c r="G685" s="100"/>
      <c r="H685" s="101"/>
      <c r="I685" s="101"/>
      <c r="J685" s="102"/>
      <c r="K685" s="102"/>
      <c r="L685" s="102"/>
      <c r="M685" s="102"/>
    </row>
    <row r="686" spans="2:13" s="98" customFormat="1" x14ac:dyDescent="0.15">
      <c r="B686" s="100"/>
      <c r="C686" s="100"/>
      <c r="D686" s="100"/>
      <c r="E686" s="100"/>
      <c r="F686" s="100"/>
      <c r="G686" s="100"/>
      <c r="H686" s="101"/>
      <c r="I686" s="101"/>
      <c r="J686" s="102"/>
      <c r="K686" s="102"/>
      <c r="L686" s="102"/>
      <c r="M686" s="102"/>
    </row>
    <row r="687" spans="2:13" s="98" customFormat="1" x14ac:dyDescent="0.15">
      <c r="B687" s="100"/>
      <c r="C687" s="100"/>
      <c r="D687" s="100"/>
      <c r="E687" s="100"/>
      <c r="F687" s="100"/>
      <c r="G687" s="100"/>
      <c r="H687" s="101"/>
      <c r="I687" s="101"/>
      <c r="J687" s="102"/>
      <c r="K687" s="102"/>
      <c r="L687" s="102"/>
      <c r="M687" s="102"/>
    </row>
  </sheetData>
  <sortState ref="B3:T204">
    <sortCondition ref="B3:B204"/>
  </sortState>
  <phoneticPr fontId="2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7929" r:id="rId4" name="cmd_setColor">
          <controlPr autoLine="0" autoPict="0" r:id="rId5">
            <anchor moveWithCells="1">
              <from>
                <xdr:col>2</xdr:col>
                <xdr:colOff>828675</xdr:colOff>
                <xdr:row>0</xdr:row>
                <xdr:rowOff>0</xdr:rowOff>
              </from>
              <to>
                <xdr:col>3</xdr:col>
                <xdr:colOff>323850</xdr:colOff>
                <xdr:row>0</xdr:row>
                <xdr:rowOff>228600</xdr:rowOff>
              </to>
            </anchor>
          </controlPr>
        </control>
      </mc:Choice>
      <mc:Fallback>
        <control shapeId="37929" r:id="rId4" name="cmd_setColor"/>
      </mc:Fallback>
    </mc:AlternateContent>
    <mc:AlternateContent xmlns:mc="http://schemas.openxmlformats.org/markup-compatibility/2006">
      <mc:Choice Requires="x14">
        <control shapeId="37928" r:id="rId6" name="cmd_addAccount">
          <controlPr autoLine="0" r:id="rId7">
            <anchor moveWithCells="1">
              <from>
                <xdr:col>2</xdr:col>
                <xdr:colOff>66675</xdr:colOff>
                <xdr:row>0</xdr:row>
                <xdr:rowOff>0</xdr:rowOff>
              </from>
              <to>
                <xdr:col>2</xdr:col>
                <xdr:colOff>828675</xdr:colOff>
                <xdr:row>0</xdr:row>
                <xdr:rowOff>228600</xdr:rowOff>
              </to>
            </anchor>
          </controlPr>
        </control>
      </mc:Choice>
      <mc:Fallback>
        <control shapeId="37928" r:id="rId6" name="cmd_addAccount"/>
      </mc:Fallback>
    </mc:AlternateContent>
    <mc:AlternateContent xmlns:mc="http://schemas.openxmlformats.org/markup-compatibility/2006">
      <mc:Choice Requires="x14">
        <control shapeId="37927" r:id="rId8" name="cmd_checkBalance">
          <controlPr autoLine="0" r:id="rId9">
            <anchor moveWithCells="1">
              <from>
                <xdr:col>3</xdr:col>
                <xdr:colOff>323850</xdr:colOff>
                <xdr:row>0</xdr:row>
                <xdr:rowOff>0</xdr:rowOff>
              </from>
              <to>
                <xdr:col>3</xdr:col>
                <xdr:colOff>1085850</xdr:colOff>
                <xdr:row>0</xdr:row>
                <xdr:rowOff>228600</xdr:rowOff>
              </to>
            </anchor>
          </controlPr>
        </control>
      </mc:Choice>
      <mc:Fallback>
        <control shapeId="37927" r:id="rId8" name="cmd_checkBalance"/>
      </mc:Fallback>
    </mc:AlternateContent>
    <mc:AlternateContent xmlns:mc="http://schemas.openxmlformats.org/markup-compatibility/2006">
      <mc:Choice Requires="x14">
        <control shapeId="37935" r:id="rId10" name="cmd_Back">
          <controlPr autoLine="0" autoPict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37935" r:id="rId10" name="cmd_Back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B1:G11"/>
  <sheetViews>
    <sheetView workbookViewId="0">
      <selection activeCell="H5" sqref="H5"/>
    </sheetView>
  </sheetViews>
  <sheetFormatPr defaultRowHeight="13.5" x14ac:dyDescent="0.15"/>
  <cols>
    <col min="1" max="1" width="8.625" style="127" customWidth="1"/>
    <col min="2" max="2" width="18.5" style="127" customWidth="1"/>
    <col min="3" max="3" width="23.625" style="127" bestFit="1" customWidth="1"/>
    <col min="4" max="4" width="16.25" style="127" bestFit="1" customWidth="1"/>
    <col min="5" max="16384" width="9" style="127"/>
  </cols>
  <sheetData>
    <row r="1" spans="2:7" ht="20.100000000000001" customHeight="1" thickBot="1" x14ac:dyDescent="0.2">
      <c r="B1" s="219" t="s">
        <v>202</v>
      </c>
      <c r="C1" s="219" t="s">
        <v>201</v>
      </c>
      <c r="D1" s="219" t="s">
        <v>200</v>
      </c>
      <c r="F1" s="219" t="s">
        <v>203</v>
      </c>
      <c r="G1" s="128" t="s">
        <v>169</v>
      </c>
    </row>
    <row r="2" spans="2:7" x14ac:dyDescent="0.15">
      <c r="B2" s="129" t="s">
        <v>794</v>
      </c>
      <c r="C2" s="142">
        <v>2019</v>
      </c>
      <c r="D2" s="130"/>
      <c r="F2" s="137" t="s">
        <v>168</v>
      </c>
      <c r="G2" s="137" t="s">
        <v>170</v>
      </c>
    </row>
    <row r="3" spans="2:7" x14ac:dyDescent="0.15">
      <c r="B3" s="131" t="s">
        <v>729</v>
      </c>
      <c r="C3" s="143">
        <v>1</v>
      </c>
      <c r="D3" s="132"/>
      <c r="F3" s="133"/>
      <c r="G3" s="138" t="s">
        <v>171</v>
      </c>
    </row>
    <row r="4" spans="2:7" x14ac:dyDescent="0.15">
      <c r="B4" s="131" t="s">
        <v>191</v>
      </c>
      <c r="C4" s="143">
        <v>1</v>
      </c>
      <c r="D4" s="131"/>
      <c r="G4" s="138" t="s">
        <v>172</v>
      </c>
    </row>
    <row r="5" spans="2:7" x14ac:dyDescent="0.15">
      <c r="B5" s="131" t="s">
        <v>795</v>
      </c>
      <c r="C5" s="141">
        <v>2019</v>
      </c>
      <c r="D5" s="131"/>
      <c r="G5" s="138"/>
    </row>
    <row r="6" spans="2:7" x14ac:dyDescent="0.15">
      <c r="B6" s="131" t="s">
        <v>190</v>
      </c>
      <c r="C6" s="143">
        <v>1</v>
      </c>
      <c r="D6" s="131"/>
      <c r="G6" s="138"/>
    </row>
    <row r="7" spans="2:7" x14ac:dyDescent="0.15">
      <c r="B7" s="131" t="s">
        <v>193</v>
      </c>
      <c r="C7" s="134" t="s">
        <v>726</v>
      </c>
      <c r="D7" s="131"/>
      <c r="G7" s="135"/>
    </row>
    <row r="8" spans="2:7" x14ac:dyDescent="0.15">
      <c r="B8" s="131" t="s">
        <v>194</v>
      </c>
      <c r="C8" s="135">
        <v>0</v>
      </c>
      <c r="D8" s="131" t="s">
        <v>195</v>
      </c>
      <c r="G8" s="135"/>
    </row>
    <row r="9" spans="2:7" x14ac:dyDescent="0.15">
      <c r="B9" s="131" t="s">
        <v>198</v>
      </c>
      <c r="C9" s="136" t="s">
        <v>199</v>
      </c>
      <c r="D9" s="131" t="s">
        <v>204</v>
      </c>
      <c r="G9" s="135"/>
    </row>
    <row r="10" spans="2:7" x14ac:dyDescent="0.15">
      <c r="G10" s="135"/>
    </row>
    <row r="11" spans="2:7" x14ac:dyDescent="0.15">
      <c r="G11" s="135"/>
    </row>
  </sheetData>
  <sheetProtection algorithmName="SHA-512" hashValue="+eBd15OG/EpR7XosfpCcnoLiGGzeKlfz7ClWhAskMuslSFeX5DqWJkfNtk2w+mOVx8S/bh+qYw7bLdCFfTxVrQ==" saltValue="rrcnfOUVhSJG+lbiprsMsQ==" spinCount="100000" sheet="1" objects="1" scenarios="1"/>
  <phoneticPr fontId="29" type="noConversion"/>
  <dataValidations count="4">
    <dataValidation type="whole" operator="lessThanOrEqual" allowBlank="1" showInputMessage="1" showErrorMessage="1" error="业务开始期间必须小于或等于启用期间" sqref="C3" xr:uid="{00000000-0002-0000-0D00-000000000000}">
      <formula1>C4</formula1>
    </dataValidation>
    <dataValidation type="whole" allowBlank="1" showInputMessage="1" showErrorMessage="1" sqref="C6" xr:uid="{00000000-0002-0000-0D00-000001000000}">
      <formula1>1</formula1>
      <formula2>12</formula2>
    </dataValidation>
    <dataValidation type="whole" operator="greaterThanOrEqual" allowBlank="1" showInputMessage="1" showErrorMessage="1" sqref="C4" xr:uid="{00000000-0002-0000-0D00-000002000000}">
      <formula1>C3</formula1>
    </dataValidation>
    <dataValidation type="whole" operator="greaterThanOrEqual" allowBlank="1" showInputMessage="1" showErrorMessage="1" sqref="C5 C2:C3" xr:uid="{18777D0F-AA98-4187-9B8B-6088F2C5F272}">
      <formula1>2000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7" r:id="rId4" name="cmd_Back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54277" r:id="rId4" name="cmd_Back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B1:L15"/>
  <sheetViews>
    <sheetView showGridLines="0" workbookViewId="0">
      <selection activeCell="H14" sqref="H14"/>
    </sheetView>
  </sheetViews>
  <sheetFormatPr defaultRowHeight="13.5" x14ac:dyDescent="0.15"/>
  <cols>
    <col min="1" max="1" width="8.625" style="127" customWidth="1"/>
    <col min="2" max="2" width="16.75" style="127" bestFit="1" customWidth="1"/>
    <col min="3" max="3" width="8.625" style="127" customWidth="1"/>
    <col min="4" max="4" width="3.625" style="127" customWidth="1"/>
    <col min="5" max="5" width="12.625" style="127" customWidth="1"/>
    <col min="6" max="6" width="8.625" style="127" customWidth="1"/>
    <col min="7" max="7" width="3.625" style="127" customWidth="1"/>
    <col min="8" max="8" width="12.625" style="127" customWidth="1"/>
    <col min="9" max="9" width="8.625" style="127" customWidth="1"/>
    <col min="10" max="10" width="3.625" style="127" customWidth="1"/>
    <col min="11" max="11" width="12.625" style="127" customWidth="1"/>
    <col min="12" max="12" width="12.375" style="127" customWidth="1"/>
    <col min="13" max="16384" width="9" style="127"/>
  </cols>
  <sheetData>
    <row r="1" spans="2:12" ht="20.100000000000001" customHeight="1" x14ac:dyDescent="0.15"/>
    <row r="2" spans="2:12" x14ac:dyDescent="0.15">
      <c r="B2" s="308" t="s">
        <v>730</v>
      </c>
      <c r="C2" s="308"/>
      <c r="E2" s="308" t="s">
        <v>773</v>
      </c>
      <c r="F2" s="308"/>
      <c r="H2" s="308" t="s">
        <v>774</v>
      </c>
      <c r="I2" s="308"/>
      <c r="K2" s="308" t="s">
        <v>775</v>
      </c>
      <c r="L2" s="308"/>
    </row>
    <row r="3" spans="2:12" x14ac:dyDescent="0.15">
      <c r="B3" s="178" t="s">
        <v>751</v>
      </c>
      <c r="C3" s="193"/>
      <c r="E3" s="127" t="s">
        <v>762</v>
      </c>
      <c r="F3" s="183"/>
      <c r="H3" s="127" t="s">
        <v>751</v>
      </c>
      <c r="I3" s="183"/>
      <c r="K3" s="127" t="s">
        <v>751</v>
      </c>
      <c r="L3" s="183"/>
    </row>
    <row r="4" spans="2:12" x14ac:dyDescent="0.15">
      <c r="B4" s="179" t="s">
        <v>752</v>
      </c>
      <c r="C4" s="181"/>
      <c r="E4" s="127" t="s">
        <v>763</v>
      </c>
      <c r="F4" s="184"/>
      <c r="H4" s="127" t="s">
        <v>763</v>
      </c>
      <c r="I4" s="188"/>
      <c r="K4" s="127" t="s">
        <v>768</v>
      </c>
      <c r="L4" s="191"/>
    </row>
    <row r="5" spans="2:12" x14ac:dyDescent="0.15">
      <c r="E5" s="127" t="s">
        <v>764</v>
      </c>
      <c r="F5" s="185"/>
      <c r="H5" s="127" t="s">
        <v>764</v>
      </c>
      <c r="I5" s="189"/>
      <c r="K5" s="127" t="s">
        <v>769</v>
      </c>
      <c r="L5" s="182"/>
    </row>
    <row r="6" spans="2:12" x14ac:dyDescent="0.15">
      <c r="E6" s="127" t="s">
        <v>833</v>
      </c>
      <c r="F6" s="186"/>
      <c r="H6" s="127" t="s">
        <v>833</v>
      </c>
      <c r="I6" s="190"/>
      <c r="K6" s="127" t="s">
        <v>780</v>
      </c>
      <c r="L6" s="192"/>
    </row>
    <row r="7" spans="2:12" x14ac:dyDescent="0.15">
      <c r="E7" s="127" t="s">
        <v>765</v>
      </c>
      <c r="F7" s="187"/>
      <c r="H7" s="127" t="s">
        <v>765</v>
      </c>
      <c r="I7" s="189"/>
    </row>
    <row r="8" spans="2:12" x14ac:dyDescent="0.15">
      <c r="E8" s="180"/>
      <c r="F8" s="180"/>
    </row>
    <row r="9" spans="2:12" x14ac:dyDescent="0.15">
      <c r="E9" s="180"/>
      <c r="F9" s="180"/>
    </row>
    <row r="12" spans="2:12" x14ac:dyDescent="0.15">
      <c r="B12" s="308" t="s">
        <v>766</v>
      </c>
      <c r="C12" s="308"/>
    </row>
    <row r="13" spans="2:12" x14ac:dyDescent="0.15">
      <c r="B13" s="127" t="s">
        <v>767</v>
      </c>
      <c r="C13" s="193"/>
    </row>
    <row r="14" spans="2:12" x14ac:dyDescent="0.15">
      <c r="B14" s="127" t="s">
        <v>768</v>
      </c>
      <c r="C14" s="181"/>
    </row>
    <row r="15" spans="2:12" x14ac:dyDescent="0.15">
      <c r="B15" s="127" t="s">
        <v>769</v>
      </c>
      <c r="C15" s="182"/>
    </row>
  </sheetData>
  <sheetProtection algorithmName="SHA-512" hashValue="FAoe54oI52QZfnNAxyo6htpLwQVU9NOQUqYyoxYsbOXBcq34iuM+Q2q32/p+PLKKOVKm0TnREZVHB/OidicCuw==" saltValue="OxaxLnVnsxCNhpXLGCgpQw==" spinCount="100000" sheet="1" objects="1" scenarios="1"/>
  <mergeCells count="5">
    <mergeCell ref="B2:C2"/>
    <mergeCell ref="E2:F2"/>
    <mergeCell ref="H2:I2"/>
    <mergeCell ref="K2:L2"/>
    <mergeCell ref="B12:C12"/>
  </mergeCells>
  <phoneticPr fontId="4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1" r:id="rId4" name="cmd_Back">
          <controlPr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81921" r:id="rId4" name="cmd_Back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K30"/>
  <sheetViews>
    <sheetView showGridLines="0" workbookViewId="0">
      <selection activeCell="B22" sqref="B22"/>
    </sheetView>
  </sheetViews>
  <sheetFormatPr defaultRowHeight="13.5" x14ac:dyDescent="0.15"/>
  <cols>
    <col min="1" max="1" width="5.625" customWidth="1"/>
    <col min="2" max="11" width="8.625" customWidth="1"/>
  </cols>
  <sheetData>
    <row r="1" spans="1:7" x14ac:dyDescent="0.15">
      <c r="A1" s="10">
        <v>39486</v>
      </c>
      <c r="B1" s="10">
        <v>39486</v>
      </c>
      <c r="G1">
        <f>getMaxDateA(2017,1)</f>
        <v>42766</v>
      </c>
    </row>
    <row r="12" spans="1:7" x14ac:dyDescent="0.15">
      <c r="E12">
        <f>1991810.58-8321.15+20000</f>
        <v>2003489.4300000002</v>
      </c>
    </row>
    <row r="20" spans="1:11" ht="27.75" x14ac:dyDescent="0.15">
      <c r="B20" s="23"/>
      <c r="C20" s="259" t="s">
        <v>0</v>
      </c>
      <c r="D20" s="259"/>
      <c r="E20" s="259"/>
      <c r="F20" s="259"/>
      <c r="G20" s="259"/>
      <c r="H20" s="259"/>
      <c r="I20" s="259"/>
      <c r="J20" s="1" t="s">
        <v>787</v>
      </c>
      <c r="K20" s="123"/>
    </row>
    <row r="21" spans="1:11" x14ac:dyDescent="0.15">
      <c r="D21" s="3" t="s">
        <v>6</v>
      </c>
      <c r="E21" s="258">
        <v>42845</v>
      </c>
      <c r="F21" s="258"/>
      <c r="G21" s="258"/>
      <c r="J21" s="117" t="s">
        <v>785</v>
      </c>
      <c r="K21" s="121">
        <v>1</v>
      </c>
    </row>
    <row r="22" spans="1:11" ht="14.25" x14ac:dyDescent="0.15">
      <c r="B22" s="114" t="s">
        <v>757</v>
      </c>
      <c r="C22" s="122" t="str">
        <f>单位名称</f>
        <v>浙江晴天服饰有限公司</v>
      </c>
      <c r="D22" s="122"/>
      <c r="E22" s="122"/>
      <c r="F22" s="122"/>
      <c r="G22" s="122"/>
      <c r="J22" s="117" t="s">
        <v>5</v>
      </c>
      <c r="K22" s="123">
        <v>0</v>
      </c>
    </row>
    <row r="23" spans="1:11" ht="36" customHeight="1" x14ac:dyDescent="0.15">
      <c r="A23" s="289" t="s">
        <v>754</v>
      </c>
      <c r="B23" s="290"/>
      <c r="C23" s="291"/>
      <c r="D23" s="289" t="s">
        <v>753</v>
      </c>
      <c r="E23" s="290"/>
      <c r="F23" s="290"/>
      <c r="G23" s="291"/>
      <c r="H23" s="289" t="s">
        <v>755</v>
      </c>
      <c r="I23" s="291"/>
      <c r="J23" s="289" t="s">
        <v>756</v>
      </c>
      <c r="K23" s="291"/>
    </row>
    <row r="24" spans="1:11" ht="20.100000000000001" customHeight="1" x14ac:dyDescent="0.15">
      <c r="A24" s="281"/>
      <c r="B24" s="282"/>
      <c r="C24" s="283"/>
      <c r="D24" s="284"/>
      <c r="E24" s="285"/>
      <c r="F24" s="285"/>
      <c r="G24" s="286"/>
      <c r="H24" s="287"/>
      <c r="I24" s="288"/>
      <c r="J24" s="287"/>
      <c r="K24" s="288"/>
    </row>
    <row r="25" spans="1:11" ht="20.100000000000001" customHeight="1" x14ac:dyDescent="0.15">
      <c r="A25" s="281"/>
      <c r="B25" s="282"/>
      <c r="C25" s="283"/>
      <c r="D25" s="284"/>
      <c r="E25" s="285"/>
      <c r="F25" s="285"/>
      <c r="G25" s="286"/>
      <c r="H25" s="287"/>
      <c r="I25" s="288"/>
      <c r="J25" s="287"/>
      <c r="K25" s="288"/>
    </row>
    <row r="26" spans="1:11" ht="20.100000000000001" customHeight="1" x14ac:dyDescent="0.15">
      <c r="A26" s="281"/>
      <c r="B26" s="282"/>
      <c r="C26" s="283"/>
      <c r="D26" s="284"/>
      <c r="E26" s="285"/>
      <c r="F26" s="285"/>
      <c r="G26" s="286"/>
      <c r="H26" s="287"/>
      <c r="I26" s="288"/>
      <c r="J26" s="287"/>
      <c r="K26" s="288"/>
    </row>
    <row r="27" spans="1:11" ht="20.100000000000001" customHeight="1" x14ac:dyDescent="0.15">
      <c r="A27" s="281"/>
      <c r="B27" s="282"/>
      <c r="C27" s="283"/>
      <c r="D27" s="284"/>
      <c r="E27" s="285"/>
      <c r="F27" s="285"/>
      <c r="G27" s="286"/>
      <c r="H27" s="287"/>
      <c r="I27" s="288"/>
      <c r="J27" s="287"/>
      <c r="K27" s="288"/>
    </row>
    <row r="28" spans="1:11" ht="20.100000000000001" customHeight="1" x14ac:dyDescent="0.15">
      <c r="A28" s="281"/>
      <c r="B28" s="282"/>
      <c r="C28" s="283"/>
      <c r="D28" s="284"/>
      <c r="E28" s="285"/>
      <c r="F28" s="285"/>
      <c r="G28" s="286"/>
      <c r="H28" s="287"/>
      <c r="I28" s="288"/>
      <c r="J28" s="287"/>
      <c r="K28" s="288"/>
    </row>
    <row r="29" spans="1:11" ht="20.100000000000001" customHeight="1" x14ac:dyDescent="0.15">
      <c r="A29" s="289" t="s">
        <v>786</v>
      </c>
      <c r="B29" s="290"/>
      <c r="C29" s="291"/>
      <c r="D29" s="289"/>
      <c r="E29" s="290"/>
      <c r="F29" s="290"/>
      <c r="G29" s="291"/>
      <c r="H29" s="309"/>
      <c r="I29" s="310"/>
      <c r="J29" s="309"/>
      <c r="K29" s="310"/>
    </row>
    <row r="30" spans="1:11" x14ac:dyDescent="0.15">
      <c r="C30" s="124" t="s">
        <v>788</v>
      </c>
      <c r="D30" t="s">
        <v>8</v>
      </c>
      <c r="F30" s="124" t="s">
        <v>790</v>
      </c>
      <c r="G30" t="s">
        <v>705</v>
      </c>
      <c r="J30" s="124" t="s">
        <v>789</v>
      </c>
      <c r="K30" t="s">
        <v>705</v>
      </c>
    </row>
  </sheetData>
  <mergeCells count="30">
    <mergeCell ref="J24:K24"/>
    <mergeCell ref="C20:I20"/>
    <mergeCell ref="E21:G21"/>
    <mergeCell ref="A24:C24"/>
    <mergeCell ref="D24:G24"/>
    <mergeCell ref="H24:I24"/>
    <mergeCell ref="A25:C25"/>
    <mergeCell ref="D25:G25"/>
    <mergeCell ref="H25:I25"/>
    <mergeCell ref="J25:K25"/>
    <mergeCell ref="A26:C26"/>
    <mergeCell ref="D26:G26"/>
    <mergeCell ref="H26:I26"/>
    <mergeCell ref="J26:K26"/>
    <mergeCell ref="A29:C29"/>
    <mergeCell ref="D29:G29"/>
    <mergeCell ref="H29:I29"/>
    <mergeCell ref="J29:K29"/>
    <mergeCell ref="A23:C23"/>
    <mergeCell ref="D23:G23"/>
    <mergeCell ref="H23:I23"/>
    <mergeCell ref="J23:K23"/>
    <mergeCell ref="A27:C27"/>
    <mergeCell ref="D27:G27"/>
    <mergeCell ref="H27:I27"/>
    <mergeCell ref="J27:K27"/>
    <mergeCell ref="A28:C28"/>
    <mergeCell ref="D28:G28"/>
    <mergeCell ref="H28:I28"/>
    <mergeCell ref="J28:K28"/>
  </mergeCells>
  <phoneticPr fontId="45" type="noConversion"/>
  <dataValidations count="4">
    <dataValidation type="decimal" operator="notEqual" allowBlank="1" showInputMessage="1" showErrorMessage="1" sqref="H24:H28 J24:J28" xr:uid="{00000000-0002-0000-0F00-000000000000}">
      <formula1>0</formula1>
    </dataValidation>
    <dataValidation type="date" operator="greaterThanOrEqual" allowBlank="1" showInputMessage="1" showErrorMessage="1" sqref="E21:G21" xr:uid="{00000000-0002-0000-0F00-000001000000}">
      <formula1>7306</formula1>
    </dataValidation>
    <dataValidation type="whole" operator="greaterThan" allowBlank="1" showInputMessage="1" showErrorMessage="1" sqref="K21" xr:uid="{00000000-0002-0000-0F00-000002000000}">
      <formula1>0</formula1>
    </dataValidation>
    <dataValidation type="whole" operator="greaterThanOrEqual" allowBlank="1" showInputMessage="1" showErrorMessage="1" sqref="K22" xr:uid="{00000000-0002-0000-0F00-000003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9633" r:id="rId4" name="CommandButton1">
          <controlPr autoLine="0" r:id="rId5">
            <anchor moveWithCells="1">
              <from>
                <xdr:col>3</xdr:col>
                <xdr:colOff>171450</xdr:colOff>
                <xdr:row>4</xdr:row>
                <xdr:rowOff>123825</xdr:rowOff>
              </from>
              <to>
                <xdr:col>4</xdr:col>
                <xdr:colOff>428625</xdr:colOff>
                <xdr:row>6</xdr:row>
                <xdr:rowOff>85725</xdr:rowOff>
              </to>
            </anchor>
          </controlPr>
        </control>
      </mc:Choice>
      <mc:Fallback>
        <control shapeId="69633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B1:C14"/>
  <sheetViews>
    <sheetView showGridLines="0" showZeros="0" workbookViewId="0">
      <selection activeCell="A2" sqref="A2"/>
    </sheetView>
  </sheetViews>
  <sheetFormatPr defaultRowHeight="13.5" x14ac:dyDescent="0.15"/>
  <cols>
    <col min="1" max="1" width="8.625" style="127" customWidth="1"/>
    <col min="2" max="2" width="14.875" style="127" customWidth="1"/>
    <col min="3" max="3" width="14.125" style="127" customWidth="1"/>
    <col min="4" max="16384" width="9" style="127"/>
  </cols>
  <sheetData>
    <row r="1" spans="2:3" ht="20.100000000000001" customHeight="1" x14ac:dyDescent="0.15"/>
    <row r="2" spans="2:3" x14ac:dyDescent="0.15">
      <c r="B2" s="311" t="s">
        <v>781</v>
      </c>
      <c r="C2" s="311"/>
    </row>
    <row r="3" spans="2:3" x14ac:dyDescent="0.15">
      <c r="B3" s="177" t="s">
        <v>782</v>
      </c>
      <c r="C3" s="176">
        <v>7</v>
      </c>
    </row>
    <row r="4" spans="2:3" x14ac:dyDescent="0.15">
      <c r="B4" s="177" t="s">
        <v>783</v>
      </c>
      <c r="C4" s="176">
        <v>20</v>
      </c>
    </row>
    <row r="5" spans="2:3" x14ac:dyDescent="0.15">
      <c r="B5" s="177" t="s">
        <v>784</v>
      </c>
      <c r="C5" s="176">
        <v>24</v>
      </c>
    </row>
    <row r="6" spans="2:3" x14ac:dyDescent="0.15">
      <c r="B6" s="175"/>
    </row>
    <row r="7" spans="2:3" x14ac:dyDescent="0.15">
      <c r="B7" s="175"/>
    </row>
    <row r="8" spans="2:3" x14ac:dyDescent="0.15">
      <c r="B8" s="175"/>
    </row>
    <row r="9" spans="2:3" x14ac:dyDescent="0.15">
      <c r="B9" s="175"/>
    </row>
    <row r="10" spans="2:3" x14ac:dyDescent="0.15">
      <c r="B10" s="175"/>
    </row>
    <row r="11" spans="2:3" x14ac:dyDescent="0.15">
      <c r="B11" s="175"/>
    </row>
    <row r="12" spans="2:3" x14ac:dyDescent="0.15">
      <c r="B12" s="175"/>
    </row>
    <row r="13" spans="2:3" x14ac:dyDescent="0.15">
      <c r="B13" s="175"/>
    </row>
    <row r="14" spans="2:3" x14ac:dyDescent="0.15">
      <c r="B14" s="175"/>
    </row>
  </sheetData>
  <sheetProtection algorithmName="SHA-512" hashValue="xnuwHyU4VIXqhAv50b7vEB01y7WVArQGuEeVwzOc1dKrJKh8BRyLdRwG3Pj7YyaPYNjNFrcdkhuYzQ2t8oOK+A==" saltValue="GCZOk6VSLeScmjcC7dfIuQ==" spinCount="100000" sheet="1" objects="1" scenarios="1"/>
  <mergeCells count="1">
    <mergeCell ref="B2:C2"/>
  </mergeCells>
  <phoneticPr fontId="45" type="noConversion"/>
  <dataValidations count="2">
    <dataValidation type="whole" allowBlank="1" showInputMessage="1" showErrorMessage="1" sqref="C3" xr:uid="{00000000-0002-0000-1000-000000000000}">
      <formula1>5</formula1>
      <formula2>10</formula2>
    </dataValidation>
    <dataValidation type="whole" allowBlank="1" showInputMessage="1" showErrorMessage="1" sqref="C4 C5" xr:uid="{00000000-0002-0000-1000-000001000000}">
      <formula1>10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84" r:id="rId4" name="cmd_Back">
          <controlPr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609600</xdr:colOff>
                <xdr:row>0</xdr:row>
                <xdr:rowOff>228600</xdr:rowOff>
              </to>
            </anchor>
          </controlPr>
        </control>
      </mc:Choice>
      <mc:Fallback>
        <control shapeId="71684" r:id="rId4" name="cmd_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命名范围</vt:lpstr>
      </vt:variant>
      <vt:variant>
        <vt:i4>4</vt:i4>
      </vt:variant>
    </vt:vector>
  </HeadingPairs>
  <TitlesOfParts>
    <vt:vector size="22" baseType="lpstr">
      <vt:lpstr>主界面</vt:lpstr>
      <vt:lpstr>凭证录入</vt:lpstr>
      <vt:lpstr>凭证管理</vt:lpstr>
      <vt:lpstr>Sheet3</vt:lpstr>
      <vt:lpstr>凭证打印</vt:lpstr>
      <vt:lpstr>Sheet1</vt:lpstr>
      <vt:lpstr>总账</vt:lpstr>
      <vt:lpstr>明细账</vt:lpstr>
      <vt:lpstr>余额表</vt:lpstr>
      <vt:lpstr>多栏账</vt:lpstr>
      <vt:lpstr>资产负债表</vt:lpstr>
      <vt:lpstr>利润表</vt:lpstr>
      <vt:lpstr>科目模板</vt:lpstr>
      <vt:lpstr>会计科目</vt:lpstr>
      <vt:lpstr>设置</vt:lpstr>
      <vt:lpstr>颜色设置</vt:lpstr>
      <vt:lpstr>格式设置</vt:lpstr>
      <vt:lpstr>打印设置</vt:lpstr>
      <vt:lpstr>操作员</vt:lpstr>
      <vt:lpstr>单位名称</vt:lpstr>
      <vt:lpstr>科目代码</vt:lpstr>
      <vt:lpstr>凭证字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zwq</dc:creator>
  <cp:lastModifiedBy>张吴清</cp:lastModifiedBy>
  <cp:lastPrinted>2019-10-29T03:36:56Z</cp:lastPrinted>
  <dcterms:created xsi:type="dcterms:W3CDTF">2006-09-13T11:21:51Z</dcterms:created>
  <dcterms:modified xsi:type="dcterms:W3CDTF">2019-10-30T08:13:01Z</dcterms:modified>
</cp:coreProperties>
</file>